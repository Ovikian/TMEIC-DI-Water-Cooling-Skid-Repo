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"/>
    </mc:Choice>
  </mc:AlternateContent>
  <xr:revisionPtr revIDLastSave="0" documentId="8_{2F659A72-B4FD-4EF3-8D4F-B6780C30CDA3}" xr6:coauthVersionLast="47" xr6:coauthVersionMax="47" xr10:uidLastSave="{00000000-0000-0000-0000-000000000000}"/>
  <bookViews>
    <workbookView xWindow="-108" yWindow="-108" windowWidth="23256" windowHeight="12456" xr2:uid="{10D479EA-35C7-4C0B-9B4E-B3672E68B92B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K12" i="1"/>
  <c r="K11" i="1"/>
  <c r="H11" i="1"/>
  <c r="K10" i="1"/>
  <c r="H10" i="1"/>
  <c r="K9" i="1"/>
  <c r="H9" i="1"/>
  <c r="K8" i="1"/>
  <c r="H8" i="1"/>
  <c r="K7" i="1"/>
  <c r="K6" i="1"/>
  <c r="K5" i="1"/>
  <c r="K4" i="1"/>
  <c r="K3" i="1"/>
  <c r="K2" i="1"/>
  <c r="H7" i="1"/>
  <c r="H6" i="1"/>
  <c r="H5" i="1"/>
  <c r="H4" i="1"/>
  <c r="H3" i="1"/>
  <c r="H2" i="1"/>
  <c r="L12" i="1" l="1"/>
  <c r="L11" i="1"/>
  <c r="L10" i="1"/>
  <c r="L9" i="1"/>
  <c r="L8" i="1"/>
  <c r="L3" i="1"/>
  <c r="L7" i="1"/>
  <c r="L2" i="1"/>
  <c r="L4" i="1"/>
  <c r="L5" i="1"/>
  <c r="L6" i="1"/>
</calcChain>
</file>

<file path=xl/sharedStrings.xml><?xml version="1.0" encoding="utf-8"?>
<sst xmlns="http://schemas.openxmlformats.org/spreadsheetml/2006/main" count="6" uniqueCount="6">
  <si>
    <t>x2</t>
  </si>
  <si>
    <t>x1</t>
  </si>
  <si>
    <t>Δx</t>
  </si>
  <si>
    <t>Δt</t>
  </si>
  <si>
    <t>≈ dx/dt</t>
  </si>
  <si>
    <t>Average dx/dt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</si>
</sst>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Rate</a:t>
            </a:r>
            <a:r>
              <a:rPr lang="en-US" baseline="0"/>
              <a:t> of Actuation Change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 Instance Rate of Change</c:v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numRef>
              <c:f>Sheet1!$M$2:$M$12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Sheet1!$L$2:$L$12</c:f>
              <c:numCache>
                <c:formatCode>General</c:formatCode>
                <c:ptCount val="11"/>
                <c:pt idx="0">
                  <c:v>3.3272357829135268</c:v>
                </c:pt>
                <c:pt idx="1">
                  <c:v>3.6932782369145971</c:v>
                </c:pt>
                <c:pt idx="2">
                  <c:v>3.553479899497491</c:v>
                </c:pt>
                <c:pt idx="3">
                  <c:v>3.7211445279866235</c:v>
                </c:pt>
                <c:pt idx="4">
                  <c:v>3.6403124158362394</c:v>
                </c:pt>
                <c:pt idx="5">
                  <c:v>3.1029850746268623</c:v>
                </c:pt>
                <c:pt idx="6">
                  <c:v>4.7813126875199474</c:v>
                </c:pt>
                <c:pt idx="7">
                  <c:v>3.8988963721576142</c:v>
                </c:pt>
                <c:pt idx="8">
                  <c:v>4.1930148975791397</c:v>
                </c:pt>
                <c:pt idx="9">
                  <c:v>4.2002805498022919</c:v>
                </c:pt>
                <c:pt idx="10">
                  <c:v>4.1010071415491574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3D-4EA2-918E-95AAE5DCA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67360"/>
        <c:axId val="926263248"/>
      </c:barChart>
      <c:scatterChart>
        <c:scatterStyle val="lineMarker"/>
        <c:varyColors val="0"/>
        <c:ser>
          <c:idx val="1"/>
          <c:order val="1"/>
          <c:tx>
            <c:v>Average Rate of Change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Sheet1!$M$2:$M$12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Sheet1!$N$2:$N$12</c:f>
              <c:numCache>
                <c:formatCode>General</c:formatCode>
                <c:ptCount val="11"/>
                <c:pt idx="0">
                  <c:v>3.8375406896712265</c:v>
                </c:pt>
                <c:pt idx="1">
                  <c:v>3.8375406896712265</c:v>
                </c:pt>
                <c:pt idx="2">
                  <c:v>3.8375406896712265</c:v>
                </c:pt>
                <c:pt idx="3">
                  <c:v>3.8375406896712265</c:v>
                </c:pt>
                <c:pt idx="4">
                  <c:v>3.8375406896712265</c:v>
                </c:pt>
                <c:pt idx="5">
                  <c:v>3.8375406896712265</c:v>
                </c:pt>
                <c:pt idx="6">
                  <c:v>3.8375406896712265</c:v>
                </c:pt>
                <c:pt idx="7">
                  <c:v>3.8375406896712265</c:v>
                </c:pt>
                <c:pt idx="8">
                  <c:v>3.8375406896712265</c:v>
                </c:pt>
                <c:pt idx="9">
                  <c:v>3.8375406896712265</c:v>
                </c:pt>
                <c:pt idx="10">
                  <c:v>3.8375406896712265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3D-4EA2-918E-95AAE5DCA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67360"/>
        <c:axId val="926263248"/>
      </c:scatterChart>
      <c:catAx>
        <c:axId val="7156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Change Instance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263248"/>
        <c:crosses val="autoZero"/>
        <c:auto val="1"/>
        <c:lblAlgn val="ctr"/>
        <c:lblOffset val="100"/>
        <c:noMultiLvlLbl val="0"/>
      </c:catAx>
      <c:valAx>
        <c:axId val="92626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dx/dt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6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2</xdr:row>
      <xdr:rowOff>91440</xdr:rowOff>
    </xdr:from>
    <xdr:to>
      <xdr:col>24</xdr:col>
      <xdr:colOff>449580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052BF2-46D8-44B1-4525-604681A4B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E191-9644-449D-9E97-FC68EA43693F}">
  <dimension ref="A1:N296"/>
  <sheetViews>
    <sheetView tabSelected="1" workbookViewId="0">
      <selection activeCell="J15" sqref="J15"/>
    </sheetView>
  </sheetViews>
  <sheetFormatPr defaultRowHeight="14.4" x14ac:dyDescent="0.3"/>
  <sheetData>
    <row r="1" spans="6:14" x14ac:dyDescent="0.3">
      <c r="H1" t="s">
        <v>3</v>
      </c>
      <c r="I1" t="s">
        <v>0</v>
      </c>
      <c r="J1" t="s">
        <v>1</v>
      </c>
      <c r="K1" t="s">
        <v>2</v>
      </c>
      <c r="L1" t="s">
        <v>4</v>
      </c>
      <c r="N1" t="s">
        <v>5</v>
      </c>
    </row>
    <row r="2" spans="6:14" x14ac:dyDescent="0.3">
      <c r="F2" s="1"/>
      <c r="H2">
        <f>31.26-27.409</f>
        <v>3.8510000000000026</v>
      </c>
      <c r="I2">
        <v>13.318680000000001</v>
      </c>
      <c r="J2">
        <v>0.50549500000000003</v>
      </c>
      <c r="K2">
        <f>I2-J2</f>
        <v>12.813185000000001</v>
      </c>
      <c r="L2">
        <f>K2/H2</f>
        <v>3.3272357829135268</v>
      </c>
      <c r="M2">
        <v>1</v>
      </c>
      <c r="N2">
        <v>3.8375406896712265</v>
      </c>
    </row>
    <row r="3" spans="6:14" x14ac:dyDescent="0.3">
      <c r="F3" s="1"/>
      <c r="H3">
        <f>49.639-46.009</f>
        <v>3.6300000000000026</v>
      </c>
      <c r="I3">
        <v>41.054949999999998</v>
      </c>
      <c r="J3">
        <v>27.648350000000001</v>
      </c>
      <c r="K3">
        <f>I3-J3</f>
        <v>13.406599999999997</v>
      </c>
      <c r="L3">
        <f t="shared" ref="L3:L12" si="0">K3/H3</f>
        <v>3.6932782369145971</v>
      </c>
      <c r="M3">
        <v>2</v>
      </c>
      <c r="N3">
        <v>3.8375406896712265</v>
      </c>
    </row>
    <row r="4" spans="6:14" x14ac:dyDescent="0.3">
      <c r="F4" s="1"/>
      <c r="H4">
        <f>59.129-55.149</f>
        <v>3.9799999999999969</v>
      </c>
      <c r="I4">
        <v>55.197800000000001</v>
      </c>
      <c r="J4">
        <v>41.054949999999998</v>
      </c>
      <c r="K4">
        <f>I4-J4</f>
        <v>14.142850000000003</v>
      </c>
      <c r="L4">
        <f t="shared" si="0"/>
        <v>3.553479899497491</v>
      </c>
      <c r="M4">
        <v>3</v>
      </c>
      <c r="N4">
        <v>3.8375406896712265</v>
      </c>
    </row>
    <row r="5" spans="6:14" x14ac:dyDescent="0.3">
      <c r="F5" s="1"/>
      <c r="H5">
        <f>70.29-66.699</f>
        <v>3.5910000000000082</v>
      </c>
      <c r="I5">
        <v>68.604389999999995</v>
      </c>
      <c r="J5">
        <v>55.241759999999999</v>
      </c>
      <c r="K5">
        <f>I5-J5</f>
        <v>13.362629999999996</v>
      </c>
      <c r="L5">
        <f t="shared" si="0"/>
        <v>3.7211445279866235</v>
      </c>
      <c r="M5">
        <v>4</v>
      </c>
      <c r="N5">
        <v>3.8375406896712265</v>
      </c>
    </row>
    <row r="6" spans="6:14" x14ac:dyDescent="0.3">
      <c r="F6" s="1"/>
      <c r="H6">
        <f>78.293-74.58</f>
        <v>3.7130000000000081</v>
      </c>
      <c r="I6">
        <v>82.208789999999993</v>
      </c>
      <c r="J6">
        <v>68.692310000000006</v>
      </c>
      <c r="K6">
        <f>I6-J6</f>
        <v>13.516479999999987</v>
      </c>
      <c r="L6">
        <f t="shared" si="0"/>
        <v>3.6403124158362394</v>
      </c>
      <c r="M6">
        <v>5</v>
      </c>
      <c r="N6">
        <v>3.8375406896712265</v>
      </c>
    </row>
    <row r="7" spans="6:14" x14ac:dyDescent="0.3">
      <c r="F7" s="1"/>
      <c r="H7">
        <f>86.48-84.001</f>
        <v>2.4789999999999992</v>
      </c>
      <c r="I7">
        <v>89.945049999999995</v>
      </c>
      <c r="J7">
        <v>82.252750000000006</v>
      </c>
      <c r="K7">
        <f>I7-J7</f>
        <v>7.6922999999999888</v>
      </c>
      <c r="L7">
        <f t="shared" si="0"/>
        <v>3.1029850746268623</v>
      </c>
      <c r="M7">
        <v>6</v>
      </c>
      <c r="N7">
        <v>3.8375406896712265</v>
      </c>
    </row>
    <row r="8" spans="6:14" x14ac:dyDescent="0.3">
      <c r="F8" s="1"/>
      <c r="H8">
        <f>110.319-91.521</f>
        <v>18.798000000000002</v>
      </c>
      <c r="I8">
        <v>89.945049999999995</v>
      </c>
      <c r="J8">
        <v>6.5934099999999995E-2</v>
      </c>
      <c r="K8">
        <f>I8-J8</f>
        <v>89.879115899999988</v>
      </c>
      <c r="L8">
        <f t="shared" si="0"/>
        <v>4.7813126875199474</v>
      </c>
      <c r="M8">
        <v>7</v>
      </c>
      <c r="N8">
        <v>3.8375406896712265</v>
      </c>
    </row>
    <row r="9" spans="6:14" x14ac:dyDescent="0.3">
      <c r="F9" s="1"/>
      <c r="H9">
        <f>136.54-130.779</f>
        <v>5.7609999999999957</v>
      </c>
      <c r="I9">
        <v>22.483519999999999</v>
      </c>
      <c r="J9">
        <v>2.1978000000000001E-2</v>
      </c>
      <c r="K9">
        <f>I9-J9</f>
        <v>22.461541999999998</v>
      </c>
      <c r="L9">
        <f t="shared" si="0"/>
        <v>3.8988963721576142</v>
      </c>
      <c r="M9">
        <v>8</v>
      </c>
      <c r="N9">
        <v>3.8375406896712265</v>
      </c>
    </row>
    <row r="10" spans="6:14" x14ac:dyDescent="0.3">
      <c r="F10" s="1"/>
      <c r="H10">
        <f>156.209-150.839</f>
        <v>5.3700000000000045</v>
      </c>
      <c r="I10">
        <v>45.043959999999998</v>
      </c>
      <c r="J10">
        <v>22.527470000000001</v>
      </c>
      <c r="K10">
        <f>I10-J10</f>
        <v>22.516489999999997</v>
      </c>
      <c r="L10">
        <f t="shared" si="0"/>
        <v>4.1930148975791397</v>
      </c>
      <c r="M10">
        <v>9</v>
      </c>
      <c r="N10">
        <v>3.8375406896712265</v>
      </c>
    </row>
    <row r="11" spans="6:14" x14ac:dyDescent="0.3">
      <c r="F11" s="1"/>
      <c r="H11">
        <f>169.57-164.259</f>
        <v>5.311000000000007</v>
      </c>
      <c r="I11">
        <v>67.395600000000002</v>
      </c>
      <c r="J11">
        <v>45.087910000000001</v>
      </c>
      <c r="K11">
        <f>I11-J11</f>
        <v>22.307690000000001</v>
      </c>
      <c r="L11">
        <f t="shared" si="0"/>
        <v>4.2002805498022919</v>
      </c>
      <c r="M11">
        <v>10</v>
      </c>
      <c r="N11">
        <v>3.8375406896712265</v>
      </c>
    </row>
    <row r="12" spans="6:14" x14ac:dyDescent="0.3">
      <c r="F12" s="1"/>
      <c r="H12">
        <f>180.11-174.649</f>
        <v>5.4610000000000127</v>
      </c>
      <c r="I12">
        <v>89.835160000000002</v>
      </c>
      <c r="J12">
        <v>67.43956</v>
      </c>
      <c r="K12">
        <f>I12-J12</f>
        <v>22.395600000000002</v>
      </c>
      <c r="L12">
        <f t="shared" si="0"/>
        <v>4.1010071415491574</v>
      </c>
      <c r="M12">
        <v>11</v>
      </c>
      <c r="N12">
        <v>3.8375406896712265</v>
      </c>
    </row>
    <row r="13" spans="6:14" x14ac:dyDescent="0.3">
      <c r="F13" s="1"/>
    </row>
    <row r="14" spans="6:14" x14ac:dyDescent="0.3">
      <c r="F14" s="1"/>
    </row>
    <row r="15" spans="6:14" x14ac:dyDescent="0.3">
      <c r="F15" s="1"/>
    </row>
    <row r="16" spans="6:14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2" spans="6:6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1:6" x14ac:dyDescent="0.3">
      <c r="F289" s="1"/>
    </row>
    <row r="290" spans="1:6" x14ac:dyDescent="0.3">
      <c r="F290" s="1"/>
    </row>
    <row r="291" spans="1:6" x14ac:dyDescent="0.3">
      <c r="F291" s="1"/>
    </row>
    <row r="292" spans="1:6" x14ac:dyDescent="0.3">
      <c r="F292" s="1"/>
    </row>
    <row r="293" spans="1:6" x14ac:dyDescent="0.3">
      <c r="F293" s="1"/>
    </row>
    <row r="294" spans="1:6" x14ac:dyDescent="0.3">
      <c r="F294" s="1"/>
    </row>
    <row r="295" spans="1:6" x14ac:dyDescent="0.3">
      <c r="F295" s="1"/>
    </row>
    <row r="296" spans="1:6" x14ac:dyDescent="0.3">
      <c r="A296" s="2"/>
      <c r="B296" s="2"/>
      <c r="C296" s="2"/>
      <c r="D296" s="2"/>
      <c r="E296" s="2"/>
      <c r="F29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dcterms:created xsi:type="dcterms:W3CDTF">2026-10-06T22:46:13Z</dcterms:created>
  <dcterms:modified xsi:type="dcterms:W3CDTF">2026-10-07T01:11:58Z</dcterms:modified>
</cp:coreProperties>
</file>