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734" documentId="11_796C421E84FB48855BB0FC3EBB1F0B72633B0612" xr6:coauthVersionLast="47" xr6:coauthVersionMax="47" xr10:uidLastSave="{A426E290-5ED2-4342-8F05-30B6726B666F}"/>
  <bookViews>
    <workbookView xWindow="-108" yWindow="-108" windowWidth="23256" windowHeight="12456" activeTab="3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E194" i="4" l="1"/>
  <c r="C194" i="4"/>
  <c r="A194" i="4"/>
  <c r="E193" i="4"/>
  <c r="C193" i="4"/>
  <c r="A193" i="4"/>
  <c r="E192" i="4"/>
  <c r="C192" i="4"/>
  <c r="A192" i="4"/>
  <c r="E191" i="4"/>
  <c r="C191" i="4"/>
  <c r="A191" i="4"/>
  <c r="E190" i="4"/>
  <c r="C190" i="4"/>
  <c r="A190" i="4"/>
  <c r="E189" i="4"/>
  <c r="C189" i="4"/>
  <c r="A189" i="4"/>
  <c r="E188" i="4"/>
  <c r="C188" i="4"/>
  <c r="A188" i="4"/>
  <c r="E187" i="4"/>
  <c r="C187" i="4"/>
  <c r="A187" i="4"/>
  <c r="E186" i="4"/>
  <c r="C186" i="4"/>
  <c r="A186" i="4"/>
  <c r="E185" i="4"/>
  <c r="C185" i="4"/>
  <c r="A185" i="4"/>
  <c r="E184" i="4"/>
  <c r="C184" i="4"/>
  <c r="A184" i="4"/>
  <c r="E183" i="4"/>
  <c r="C183" i="4"/>
  <c r="A183" i="4"/>
  <c r="E182" i="4"/>
  <c r="C182" i="4"/>
  <c r="A182" i="4"/>
  <c r="E181" i="4"/>
  <c r="C181" i="4"/>
  <c r="A181" i="4"/>
  <c r="E180" i="4"/>
  <c r="C180" i="4"/>
  <c r="A180" i="4"/>
  <c r="E179" i="4"/>
  <c r="C179" i="4"/>
  <c r="A179" i="4"/>
  <c r="E178" i="4"/>
  <c r="C178" i="4"/>
  <c r="A178" i="4"/>
  <c r="E177" i="4"/>
  <c r="C177" i="4"/>
  <c r="A177" i="4"/>
  <c r="E176" i="4"/>
  <c r="C176" i="4"/>
  <c r="A176" i="4"/>
  <c r="E175" i="4"/>
  <c r="C175" i="4"/>
  <c r="A175" i="4"/>
  <c r="E174" i="4"/>
  <c r="C174" i="4"/>
  <c r="A174" i="4"/>
  <c r="E173" i="4"/>
  <c r="C173" i="4"/>
  <c r="A173" i="4"/>
  <c r="E172" i="4"/>
  <c r="C172" i="4"/>
  <c r="A172" i="4"/>
  <c r="E171" i="4"/>
  <c r="C171" i="4"/>
  <c r="A171" i="4"/>
  <c r="E170" i="4"/>
  <c r="C170" i="4"/>
  <c r="A170" i="4"/>
  <c r="E169" i="4"/>
  <c r="C169" i="4"/>
  <c r="A169" i="4"/>
  <c r="E168" i="4"/>
  <c r="C168" i="4"/>
  <c r="A168" i="4"/>
  <c r="E167" i="4"/>
  <c r="C167" i="4"/>
  <c r="A167" i="4"/>
  <c r="E166" i="4"/>
  <c r="C166" i="4"/>
  <c r="A166" i="4"/>
  <c r="E165" i="4"/>
  <c r="C165" i="4"/>
  <c r="A165" i="4"/>
  <c r="E164" i="4"/>
  <c r="C164" i="4"/>
  <c r="A164" i="4"/>
  <c r="E163" i="4"/>
  <c r="C163" i="4"/>
  <c r="A163" i="4"/>
  <c r="E162" i="4"/>
  <c r="C162" i="4"/>
  <c r="A162" i="4"/>
  <c r="E161" i="4"/>
  <c r="C161" i="4"/>
  <c r="A161" i="4"/>
  <c r="E160" i="4"/>
  <c r="C160" i="4"/>
  <c r="A160" i="4"/>
  <c r="E159" i="4"/>
  <c r="C159" i="4"/>
  <c r="A159" i="4"/>
  <c r="E158" i="4"/>
  <c r="C158" i="4"/>
  <c r="A158" i="4"/>
  <c r="E157" i="4"/>
  <c r="C157" i="4"/>
  <c r="A157" i="4"/>
  <c r="E156" i="4"/>
  <c r="C156" i="4"/>
  <c r="A156" i="4"/>
  <c r="E155" i="4"/>
  <c r="C155" i="4"/>
  <c r="A155" i="4"/>
  <c r="E154" i="4"/>
  <c r="C154" i="4"/>
  <c r="A154" i="4"/>
  <c r="E153" i="4"/>
  <c r="C153" i="4"/>
  <c r="A153" i="4"/>
  <c r="E152" i="4"/>
  <c r="C152" i="4"/>
  <c r="A152" i="4"/>
  <c r="E151" i="4"/>
  <c r="C151" i="4"/>
  <c r="A151" i="4"/>
  <c r="E150" i="4"/>
  <c r="C150" i="4"/>
  <c r="A150" i="4"/>
  <c r="E149" i="4"/>
  <c r="C149" i="4"/>
  <c r="A149" i="4"/>
  <c r="E148" i="4"/>
  <c r="C148" i="4"/>
  <c r="A148" i="4"/>
  <c r="E147" i="4"/>
  <c r="C147" i="4"/>
  <c r="A147" i="4"/>
  <c r="E146" i="4"/>
  <c r="C146" i="4"/>
  <c r="A146" i="4"/>
  <c r="E145" i="4"/>
  <c r="C145" i="4"/>
  <c r="A145" i="4"/>
  <c r="E144" i="4"/>
  <c r="C144" i="4"/>
  <c r="A144" i="4"/>
  <c r="E143" i="4"/>
  <c r="C143" i="4"/>
  <c r="A143" i="4"/>
  <c r="E142" i="4"/>
  <c r="C142" i="4"/>
  <c r="A142" i="4"/>
  <c r="E141" i="4"/>
  <c r="C141" i="4"/>
  <c r="A141" i="4"/>
  <c r="E140" i="4"/>
  <c r="C140" i="4"/>
  <c r="A140" i="4"/>
  <c r="E139" i="4"/>
  <c r="C139" i="4"/>
  <c r="A139" i="4"/>
  <c r="E138" i="4"/>
  <c r="C138" i="4"/>
  <c r="A138" i="4"/>
  <c r="E137" i="4"/>
  <c r="C137" i="4"/>
  <c r="A137" i="4"/>
  <c r="E136" i="4"/>
  <c r="C136" i="4"/>
  <c r="A136" i="4"/>
  <c r="E135" i="4"/>
  <c r="C135" i="4"/>
  <c r="A135" i="4"/>
  <c r="E134" i="4"/>
  <c r="C134" i="4"/>
  <c r="A134" i="4"/>
  <c r="E133" i="4"/>
  <c r="C133" i="4"/>
  <c r="A133" i="4"/>
  <c r="E132" i="4"/>
  <c r="C132" i="4"/>
  <c r="A132" i="4"/>
  <c r="E131" i="4"/>
  <c r="C131" i="4"/>
  <c r="A131" i="4"/>
  <c r="E130" i="4"/>
  <c r="C130" i="4"/>
  <c r="A130" i="4"/>
  <c r="E129" i="4"/>
  <c r="C129" i="4"/>
  <c r="A129" i="4"/>
  <c r="E128" i="4"/>
  <c r="C128" i="4"/>
  <c r="A128" i="4"/>
  <c r="E127" i="4"/>
  <c r="C127" i="4"/>
  <c r="A127" i="4"/>
  <c r="E126" i="4"/>
  <c r="C126" i="4"/>
  <c r="A126" i="4"/>
  <c r="E125" i="4"/>
  <c r="C125" i="4"/>
  <c r="A125" i="4"/>
  <c r="E124" i="4"/>
  <c r="C124" i="4"/>
  <c r="A124" i="4"/>
  <c r="E123" i="4"/>
  <c r="C123" i="4"/>
  <c r="A123" i="4"/>
  <c r="E122" i="4"/>
  <c r="C122" i="4"/>
  <c r="A122" i="4"/>
  <c r="E121" i="4"/>
  <c r="C121" i="4"/>
  <c r="A121" i="4"/>
  <c r="E120" i="4"/>
  <c r="C120" i="4"/>
  <c r="A120" i="4"/>
  <c r="E119" i="4"/>
  <c r="C119" i="4"/>
  <c r="A119" i="4"/>
  <c r="E118" i="4"/>
  <c r="C118" i="4"/>
  <c r="A118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K107" i="4" s="1"/>
  <c r="C107" i="4"/>
  <c r="A107" i="4"/>
  <c r="K106" i="4"/>
  <c r="E106" i="4"/>
  <c r="C106" i="4"/>
  <c r="A106" i="4"/>
  <c r="E105" i="4"/>
  <c r="K105" i="4" s="1"/>
  <c r="C105" i="4"/>
  <c r="A105" i="4"/>
  <c r="K104" i="4"/>
  <c r="E104" i="4"/>
  <c r="C104" i="4"/>
  <c r="A104" i="4"/>
  <c r="E103" i="4"/>
  <c r="K103" i="4" s="1"/>
  <c r="C103" i="4"/>
  <c r="A103" i="4"/>
  <c r="K102" i="4"/>
  <c r="E102" i="4"/>
  <c r="C102" i="4"/>
  <c r="A102" i="4"/>
  <c r="E101" i="4"/>
  <c r="K101" i="4" s="1"/>
  <c r="C101" i="4"/>
  <c r="A101" i="4"/>
  <c r="K100" i="4"/>
  <c r="E100" i="4"/>
  <c r="C100" i="4"/>
  <c r="A100" i="4"/>
  <c r="E99" i="4"/>
  <c r="K99" i="4" s="1"/>
  <c r="C99" i="4"/>
  <c r="A99" i="4"/>
  <c r="K98" i="4"/>
  <c r="E98" i="4"/>
  <c r="C98" i="4"/>
  <c r="A98" i="4"/>
  <c r="E97" i="4"/>
  <c r="K97" i="4" s="1"/>
  <c r="C97" i="4"/>
  <c r="A97" i="4"/>
  <c r="K96" i="4"/>
  <c r="E96" i="4"/>
  <c r="C96" i="4"/>
  <c r="A96" i="4"/>
  <c r="E95" i="4"/>
  <c r="K95" i="4" s="1"/>
  <c r="C95" i="4"/>
  <c r="A95" i="4"/>
  <c r="K94" i="4"/>
  <c r="E94" i="4"/>
  <c r="C94" i="4"/>
  <c r="A94" i="4"/>
  <c r="E93" i="4"/>
  <c r="K93" i="4" s="1"/>
  <c r="C93" i="4"/>
  <c r="A93" i="4"/>
  <c r="K92" i="4"/>
  <c r="E92" i="4"/>
  <c r="C92" i="4"/>
  <c r="A92" i="4"/>
  <c r="E91" i="4"/>
  <c r="K91" i="4" s="1"/>
  <c r="C91" i="4"/>
  <c r="A91" i="4"/>
  <c r="K90" i="4"/>
  <c r="E90" i="4"/>
  <c r="C90" i="4"/>
  <c r="A90" i="4"/>
  <c r="E89" i="4"/>
  <c r="K89" i="4" s="1"/>
  <c r="C89" i="4"/>
  <c r="A89" i="4"/>
  <c r="K88" i="4"/>
  <c r="E88" i="4"/>
  <c r="C88" i="4"/>
  <c r="A88" i="4"/>
  <c r="E87" i="4"/>
  <c r="K87" i="4" s="1"/>
  <c r="C87" i="4"/>
  <c r="A87" i="4"/>
  <c r="K86" i="4"/>
  <c r="E86" i="4"/>
  <c r="C86" i="4"/>
  <c r="A86" i="4"/>
  <c r="E85" i="4"/>
  <c r="K85" i="4" s="1"/>
  <c r="C85" i="4"/>
  <c r="A85" i="4"/>
  <c r="K84" i="4"/>
  <c r="E84" i="4"/>
  <c r="C84" i="4"/>
  <c r="A84" i="4"/>
  <c r="E83" i="4"/>
  <c r="K83" i="4" s="1"/>
  <c r="C83" i="4"/>
  <c r="A83" i="4"/>
  <c r="K82" i="4"/>
  <c r="E82" i="4"/>
  <c r="C82" i="4"/>
  <c r="A82" i="4"/>
  <c r="E81" i="4"/>
  <c r="K81" i="4" s="1"/>
  <c r="C81" i="4"/>
  <c r="A81" i="4"/>
  <c r="K80" i="4"/>
  <c r="E80" i="4"/>
  <c r="C80" i="4"/>
  <c r="A80" i="4"/>
  <c r="E79" i="4"/>
  <c r="K79" i="4" s="1"/>
  <c r="C79" i="4"/>
  <c r="A79" i="4"/>
  <c r="K78" i="4"/>
  <c r="E78" i="4"/>
  <c r="C78" i="4"/>
  <c r="A78" i="4"/>
  <c r="E77" i="4"/>
  <c r="K77" i="4" s="1"/>
  <c r="C77" i="4"/>
  <c r="A77" i="4"/>
  <c r="K76" i="4"/>
  <c r="E76" i="4"/>
  <c r="C76" i="4"/>
  <c r="A76" i="4"/>
  <c r="E75" i="4"/>
  <c r="K75" i="4" s="1"/>
  <c r="C75" i="4"/>
  <c r="A75" i="4"/>
  <c r="K74" i="4"/>
  <c r="E74" i="4"/>
  <c r="C74" i="4"/>
  <c r="A74" i="4"/>
  <c r="E73" i="4"/>
  <c r="K73" i="4" s="1"/>
  <c r="C73" i="4"/>
  <c r="A73" i="4"/>
  <c r="K72" i="4"/>
  <c r="E72" i="4"/>
  <c r="C72" i="4"/>
  <c r="A72" i="4"/>
  <c r="E71" i="4"/>
  <c r="K71" i="4" s="1"/>
  <c r="C71" i="4"/>
  <c r="A71" i="4"/>
  <c r="K70" i="4"/>
  <c r="E70" i="4"/>
  <c r="C70" i="4"/>
  <c r="A70" i="4"/>
  <c r="E69" i="4"/>
  <c r="K69" i="4" s="1"/>
  <c r="C69" i="4"/>
  <c r="A69" i="4"/>
  <c r="K68" i="4"/>
  <c r="E68" i="4"/>
  <c r="C68" i="4"/>
  <c r="A68" i="4"/>
  <c r="E67" i="4"/>
  <c r="K67" i="4" s="1"/>
  <c r="C67" i="4"/>
  <c r="A67" i="4"/>
  <c r="K66" i="4"/>
  <c r="E66" i="4"/>
  <c r="C66" i="4"/>
  <c r="A66" i="4"/>
  <c r="E65" i="4"/>
  <c r="K65" i="4" s="1"/>
  <c r="C65" i="4"/>
  <c r="A65" i="4"/>
  <c r="K64" i="4"/>
  <c r="E64" i="4"/>
  <c r="C64" i="4"/>
  <c r="A64" i="4"/>
  <c r="E63" i="4"/>
  <c r="K63" i="4" s="1"/>
  <c r="C63" i="4"/>
  <c r="A63" i="4"/>
  <c r="K62" i="4"/>
  <c r="E62" i="4"/>
  <c r="C62" i="4"/>
  <c r="A62" i="4"/>
  <c r="E61" i="4"/>
  <c r="K61" i="4" s="1"/>
  <c r="C61" i="4"/>
  <c r="A61" i="4"/>
  <c r="K60" i="4"/>
  <c r="E60" i="4"/>
  <c r="C60" i="4"/>
  <c r="A60" i="4"/>
  <c r="E59" i="4"/>
  <c r="K59" i="4" s="1"/>
  <c r="C59" i="4"/>
  <c r="A59" i="4"/>
  <c r="K58" i="4"/>
  <c r="E58" i="4"/>
  <c r="C58" i="4"/>
  <c r="A58" i="4"/>
  <c r="E57" i="4"/>
  <c r="K57" i="4" s="1"/>
  <c r="C57" i="4"/>
  <c r="A57" i="4"/>
  <c r="K56" i="4"/>
  <c r="E56" i="4"/>
  <c r="C56" i="4"/>
  <c r="A56" i="4"/>
  <c r="E55" i="4"/>
  <c r="K55" i="4" s="1"/>
  <c r="C55" i="4"/>
  <c r="A55" i="4"/>
  <c r="K54" i="4"/>
  <c r="E54" i="4"/>
  <c r="C54" i="4"/>
  <c r="A54" i="4"/>
  <c r="E53" i="4"/>
  <c r="K53" i="4" s="1"/>
  <c r="C53" i="4"/>
  <c r="A53" i="4"/>
  <c r="K52" i="4"/>
  <c r="E52" i="4"/>
  <c r="C52" i="4"/>
  <c r="A52" i="4"/>
  <c r="E51" i="4"/>
  <c r="K51" i="4" s="1"/>
  <c r="C51" i="4"/>
  <c r="A51" i="4"/>
  <c r="K50" i="4"/>
  <c r="E50" i="4"/>
  <c r="C50" i="4"/>
  <c r="A50" i="4"/>
  <c r="E49" i="4"/>
  <c r="K49" i="4" s="1"/>
  <c r="C49" i="4"/>
  <c r="A49" i="4"/>
  <c r="K48" i="4"/>
  <c r="E48" i="4"/>
  <c r="C48" i="4"/>
  <c r="A48" i="4"/>
  <c r="E47" i="4"/>
  <c r="K47" i="4" s="1"/>
  <c r="C47" i="4"/>
  <c r="A47" i="4"/>
  <c r="K46" i="4"/>
  <c r="E46" i="4"/>
  <c r="C46" i="4"/>
  <c r="A46" i="4"/>
  <c r="E45" i="4"/>
  <c r="K45" i="4" s="1"/>
  <c r="C45" i="4"/>
  <c r="A45" i="4"/>
  <c r="K44" i="4"/>
  <c r="E44" i="4"/>
  <c r="C44" i="4"/>
  <c r="A44" i="4"/>
  <c r="E43" i="4"/>
  <c r="K43" i="4" s="1"/>
  <c r="C43" i="4"/>
  <c r="A43" i="4"/>
  <c r="K42" i="4"/>
  <c r="E42" i="4"/>
  <c r="C42" i="4"/>
  <c r="A42" i="4"/>
  <c r="E41" i="4"/>
  <c r="K41" i="4" s="1"/>
  <c r="C41" i="4"/>
  <c r="A41" i="4"/>
  <c r="K40" i="4"/>
  <c r="E40" i="4"/>
  <c r="C40" i="4"/>
  <c r="A40" i="4"/>
  <c r="E39" i="4"/>
  <c r="K39" i="4" s="1"/>
  <c r="C39" i="4"/>
  <c r="A39" i="4"/>
  <c r="K38" i="4"/>
  <c r="E38" i="4"/>
  <c r="C38" i="4"/>
  <c r="A38" i="4"/>
  <c r="E37" i="4"/>
  <c r="K37" i="4" s="1"/>
  <c r="C37" i="4"/>
  <c r="A37" i="4"/>
  <c r="K36" i="4"/>
  <c r="E36" i="4"/>
  <c r="C36" i="4"/>
  <c r="A36" i="4"/>
  <c r="E35" i="4"/>
  <c r="K35" i="4" s="1"/>
  <c r="C35" i="4"/>
  <c r="A35" i="4"/>
  <c r="K34" i="4"/>
  <c r="E34" i="4"/>
  <c r="C34" i="4"/>
  <c r="A34" i="4"/>
  <c r="E33" i="4"/>
  <c r="K33" i="4" s="1"/>
  <c r="C33" i="4"/>
  <c r="A33" i="4"/>
  <c r="K32" i="4"/>
  <c r="E32" i="4"/>
  <c r="C32" i="4"/>
  <c r="A32" i="4"/>
  <c r="E31" i="4"/>
  <c r="K31" i="4" s="1"/>
  <c r="C31" i="4"/>
  <c r="A31" i="4"/>
  <c r="K30" i="4"/>
  <c r="E30" i="4"/>
  <c r="C30" i="4"/>
  <c r="A30" i="4"/>
  <c r="E29" i="4"/>
  <c r="K29" i="4" s="1"/>
  <c r="C29" i="4"/>
  <c r="A29" i="4"/>
  <c r="K28" i="4"/>
  <c r="E28" i="4"/>
  <c r="C28" i="4"/>
  <c r="A28" i="4"/>
  <c r="E27" i="4"/>
  <c r="K27" i="4" s="1"/>
  <c r="C27" i="4"/>
  <c r="A27" i="4"/>
  <c r="K26" i="4"/>
  <c r="E26" i="4"/>
  <c r="C26" i="4"/>
  <c r="A26" i="4"/>
  <c r="E25" i="4"/>
  <c r="K25" i="4" s="1"/>
  <c r="C25" i="4"/>
  <c r="A25" i="4"/>
  <c r="K24" i="4"/>
  <c r="E24" i="4"/>
  <c r="C24" i="4"/>
  <c r="A24" i="4"/>
  <c r="E23" i="4"/>
  <c r="K23" i="4" s="1"/>
  <c r="C23" i="4"/>
  <c r="A23" i="4"/>
  <c r="K22" i="4"/>
  <c r="E22" i="4"/>
  <c r="C22" i="4"/>
  <c r="A22" i="4"/>
  <c r="E21" i="4"/>
  <c r="K21" i="4" s="1"/>
  <c r="C21" i="4"/>
  <c r="A21" i="4"/>
  <c r="K20" i="4"/>
  <c r="E20" i="4"/>
  <c r="C20" i="4"/>
  <c r="A20" i="4"/>
  <c r="E19" i="4"/>
  <c r="K19" i="4" s="1"/>
  <c r="C19" i="4"/>
  <c r="A19" i="4"/>
  <c r="K18" i="4"/>
  <c r="E18" i="4"/>
  <c r="C18" i="4"/>
  <c r="A18" i="4"/>
  <c r="E17" i="4"/>
  <c r="K17" i="4" s="1"/>
  <c r="C17" i="4"/>
  <c r="A17" i="4"/>
  <c r="K16" i="4"/>
  <c r="E16" i="4"/>
  <c r="C16" i="4"/>
  <c r="A16" i="4"/>
  <c r="E15" i="4"/>
  <c r="K15" i="4" s="1"/>
  <c r="C15" i="4"/>
  <c r="A15" i="4"/>
  <c r="K14" i="4"/>
  <c r="E14" i="4"/>
  <c r="C14" i="4"/>
  <c r="A14" i="4"/>
  <c r="E13" i="4"/>
  <c r="K13" i="4" s="1"/>
  <c r="C13" i="4"/>
  <c r="A13" i="4"/>
  <c r="K12" i="4"/>
  <c r="E12" i="4"/>
  <c r="C12" i="4"/>
  <c r="A12" i="4"/>
  <c r="E11" i="4"/>
  <c r="K11" i="4" s="1"/>
  <c r="C11" i="4"/>
  <c r="A11" i="4"/>
  <c r="K10" i="4"/>
  <c r="E10" i="4"/>
  <c r="C10" i="4"/>
  <c r="A10" i="4"/>
  <c r="E9" i="4"/>
  <c r="K9" i="4" s="1"/>
  <c r="C9" i="4"/>
  <c r="A9" i="4"/>
  <c r="K8" i="4"/>
  <c r="E8" i="4"/>
  <c r="C8" i="4"/>
  <c r="A8" i="4"/>
  <c r="E7" i="4"/>
  <c r="K7" i="4" s="1"/>
  <c r="C7" i="4"/>
  <c r="A7" i="4"/>
  <c r="K6" i="4"/>
  <c r="E6" i="4"/>
  <c r="C6" i="4"/>
  <c r="A6" i="4"/>
  <c r="K5" i="4"/>
  <c r="K3" i="4"/>
  <c r="K2" i="4"/>
  <c r="K1" i="4"/>
  <c r="K1" i="3"/>
  <c r="K2" i="3"/>
  <c r="K3" i="3"/>
  <c r="K5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E108" i="3"/>
  <c r="C108" i="3"/>
  <c r="A108" i="3"/>
  <c r="E107" i="3"/>
  <c r="C107" i="3"/>
  <c r="A107" i="3"/>
  <c r="E106" i="3"/>
  <c r="C106" i="3"/>
  <c r="A106" i="3"/>
  <c r="E105" i="3"/>
  <c r="C105" i="3"/>
  <c r="A105" i="3"/>
  <c r="E104" i="3"/>
  <c r="C104" i="3"/>
  <c r="A104" i="3"/>
  <c r="E103" i="3"/>
  <c r="C103" i="3"/>
  <c r="A103" i="3"/>
  <c r="E102" i="3"/>
  <c r="C102" i="3"/>
  <c r="A102" i="3"/>
  <c r="E101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E79" i="3"/>
  <c r="C79" i="3"/>
  <c r="A79" i="3"/>
  <c r="E78" i="3"/>
  <c r="C78" i="3"/>
  <c r="A78" i="3"/>
  <c r="E77" i="3"/>
  <c r="C77" i="3"/>
  <c r="A77" i="3"/>
  <c r="E76" i="3"/>
  <c r="C76" i="3"/>
  <c r="A76" i="3"/>
  <c r="E75" i="3"/>
  <c r="C75" i="3"/>
  <c r="A75" i="3"/>
  <c r="E74" i="3"/>
  <c r="C74" i="3"/>
  <c r="A74" i="3"/>
  <c r="E73" i="3"/>
  <c r="C73" i="3"/>
  <c r="A73" i="3"/>
  <c r="E72" i="3"/>
  <c r="C72" i="3"/>
  <c r="A72" i="3"/>
  <c r="E71" i="3"/>
  <c r="C71" i="3"/>
  <c r="A71" i="3"/>
  <c r="E70" i="3"/>
  <c r="C70" i="3"/>
  <c r="A70" i="3"/>
  <c r="E69" i="3"/>
  <c r="C69" i="3"/>
  <c r="A69" i="3"/>
  <c r="E68" i="3"/>
  <c r="C68" i="3"/>
  <c r="A68" i="3"/>
  <c r="E67" i="3"/>
  <c r="C67" i="3"/>
  <c r="A67" i="3"/>
  <c r="E66" i="3"/>
  <c r="C66" i="3"/>
  <c r="A66" i="3"/>
  <c r="E65" i="3"/>
  <c r="C65" i="3"/>
  <c r="A65" i="3"/>
  <c r="E64" i="3"/>
  <c r="C64" i="3"/>
  <c r="A64" i="3"/>
  <c r="E63" i="3"/>
  <c r="C63" i="3"/>
  <c r="A63" i="3"/>
  <c r="E62" i="3"/>
  <c r="C62" i="3"/>
  <c r="A62" i="3"/>
  <c r="E61" i="3"/>
  <c r="C61" i="3"/>
  <c r="A61" i="3"/>
  <c r="E60" i="3"/>
  <c r="C60" i="3"/>
  <c r="A60" i="3"/>
  <c r="E59" i="3"/>
  <c r="C59" i="3"/>
  <c r="A59" i="3"/>
  <c r="E58" i="3"/>
  <c r="C58" i="3"/>
  <c r="A58" i="3"/>
  <c r="E57" i="3"/>
  <c r="C57" i="3"/>
  <c r="A57" i="3"/>
  <c r="E56" i="3"/>
  <c r="C56" i="3"/>
  <c r="A56" i="3"/>
  <c r="E55" i="3"/>
  <c r="C55" i="3"/>
  <c r="A55" i="3"/>
  <c r="E54" i="3"/>
  <c r="C54" i="3"/>
  <c r="A54" i="3"/>
  <c r="E53" i="3"/>
  <c r="C53" i="3"/>
  <c r="A53" i="3"/>
  <c r="E52" i="3"/>
  <c r="C52" i="3"/>
  <c r="A52" i="3"/>
  <c r="E51" i="3"/>
  <c r="C51" i="3"/>
  <c r="A51" i="3"/>
  <c r="E50" i="3"/>
  <c r="C50" i="3"/>
  <c r="A50" i="3"/>
  <c r="E49" i="3"/>
  <c r="C49" i="3"/>
  <c r="A49" i="3"/>
  <c r="E48" i="3"/>
  <c r="C48" i="3"/>
  <c r="A48" i="3"/>
  <c r="E47" i="3"/>
  <c r="C47" i="3"/>
  <c r="A47" i="3"/>
  <c r="E46" i="3"/>
  <c r="C46" i="3"/>
  <c r="A46" i="3"/>
  <c r="E45" i="3"/>
  <c r="C45" i="3"/>
  <c r="A45" i="3"/>
  <c r="E44" i="3"/>
  <c r="C44" i="3"/>
  <c r="A44" i="3"/>
  <c r="E43" i="3"/>
  <c r="C43" i="3"/>
  <c r="A43" i="3"/>
  <c r="E42" i="3"/>
  <c r="C42" i="3"/>
  <c r="A42" i="3"/>
  <c r="E41" i="3"/>
  <c r="C41" i="3"/>
  <c r="A41" i="3"/>
  <c r="E40" i="3"/>
  <c r="C40" i="3"/>
  <c r="A40" i="3"/>
  <c r="E39" i="3"/>
  <c r="C39" i="3"/>
  <c r="A39" i="3"/>
  <c r="E38" i="3"/>
  <c r="C38" i="3"/>
  <c r="A38" i="3"/>
  <c r="E37" i="3"/>
  <c r="C37" i="3"/>
  <c r="A37" i="3"/>
  <c r="E36" i="3"/>
  <c r="C36" i="3"/>
  <c r="A36" i="3"/>
  <c r="E35" i="3"/>
  <c r="C35" i="3"/>
  <c r="A35" i="3"/>
  <c r="E34" i="3"/>
  <c r="C34" i="3"/>
  <c r="A34" i="3"/>
  <c r="E33" i="3"/>
  <c r="C33" i="3"/>
  <c r="A33" i="3"/>
  <c r="E32" i="3"/>
  <c r="C32" i="3"/>
  <c r="A32" i="3"/>
  <c r="E31" i="3"/>
  <c r="C31" i="3"/>
  <c r="A31" i="3"/>
  <c r="E30" i="3"/>
  <c r="C30" i="3"/>
  <c r="A30" i="3"/>
  <c r="E29" i="3"/>
  <c r="C29" i="3"/>
  <c r="A29" i="3"/>
  <c r="E28" i="3"/>
  <c r="C28" i="3"/>
  <c r="A28" i="3"/>
  <c r="E27" i="3"/>
  <c r="C27" i="3"/>
  <c r="A27" i="3"/>
  <c r="E26" i="3"/>
  <c r="C26" i="3"/>
  <c r="A26" i="3"/>
  <c r="E25" i="3"/>
  <c r="C25" i="3"/>
  <c r="A25" i="3"/>
  <c r="E24" i="3"/>
  <c r="C24" i="3"/>
  <c r="A24" i="3"/>
  <c r="E23" i="3"/>
  <c r="C23" i="3"/>
  <c r="A23" i="3"/>
  <c r="E22" i="3"/>
  <c r="C22" i="3"/>
  <c r="A22" i="3"/>
  <c r="E21" i="3"/>
  <c r="C21" i="3"/>
  <c r="A21" i="3"/>
  <c r="E20" i="3"/>
  <c r="C20" i="3"/>
  <c r="A20" i="3"/>
  <c r="E19" i="3"/>
  <c r="C19" i="3"/>
  <c r="A19" i="3"/>
  <c r="E18" i="3"/>
  <c r="C18" i="3"/>
  <c r="A18" i="3"/>
  <c r="E17" i="3"/>
  <c r="C17" i="3"/>
  <c r="A17" i="3"/>
  <c r="E16" i="3"/>
  <c r="C16" i="3"/>
  <c r="A16" i="3"/>
  <c r="E15" i="3"/>
  <c r="C15" i="3"/>
  <c r="A15" i="3"/>
  <c r="E14" i="3"/>
  <c r="C14" i="3"/>
  <c r="A14" i="3"/>
  <c r="E13" i="3"/>
  <c r="C13" i="3"/>
  <c r="A13" i="3"/>
  <c r="E12" i="3"/>
  <c r="C12" i="3"/>
  <c r="A12" i="3"/>
  <c r="E11" i="3"/>
  <c r="C11" i="3"/>
  <c r="A11" i="3"/>
  <c r="E10" i="3"/>
  <c r="C10" i="3"/>
  <c r="A10" i="3"/>
  <c r="E9" i="3"/>
  <c r="C9" i="3"/>
  <c r="A9" i="3"/>
  <c r="E8" i="3"/>
  <c r="C8" i="3"/>
  <c r="A8" i="3"/>
  <c r="E7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I3" i="1" l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E6" i="3" s="1"/>
  <c r="N3" i="1"/>
  <c r="D2" i="2"/>
  <c r="C2" i="2"/>
  <c r="B4" i="2"/>
  <c r="D3" i="2"/>
  <c r="C3" i="2"/>
  <c r="T24" i="1"/>
  <c r="J4" i="1" l="1"/>
  <c r="N4" i="1"/>
  <c r="I5" i="1"/>
  <c r="H4" i="1"/>
  <c r="D4" i="2"/>
  <c r="C4" i="2"/>
  <c r="B5" i="2"/>
  <c r="T26" i="1"/>
  <c r="T50" i="1"/>
  <c r="T25" i="1"/>
  <c r="I6" i="1" l="1"/>
  <c r="H5" i="1"/>
  <c r="N5" i="1"/>
  <c r="J5" i="1"/>
  <c r="T27" i="1"/>
  <c r="B6" i="2"/>
  <c r="D5" i="2"/>
  <c r="C5" i="2"/>
  <c r="T28" i="1"/>
  <c r="H6" i="1" l="1"/>
  <c r="J6" i="1"/>
  <c r="N6" i="1"/>
  <c r="I7" i="1"/>
  <c r="B7" i="2"/>
  <c r="D6" i="2"/>
  <c r="C6" i="2"/>
  <c r="T29" i="1"/>
  <c r="N7" i="1" l="1"/>
  <c r="J7" i="1"/>
  <c r="I8" i="1"/>
  <c r="H7" i="1"/>
  <c r="B8" i="2"/>
  <c r="D7" i="2"/>
  <c r="C7" i="2"/>
  <c r="T30" i="1"/>
  <c r="I9" i="1" l="1"/>
  <c r="H8" i="1"/>
  <c r="J8" i="1"/>
  <c r="N8" i="1"/>
  <c r="B9" i="2"/>
  <c r="D8" i="2"/>
  <c r="C8" i="2"/>
  <c r="T31" i="1"/>
  <c r="J9" i="1" l="1"/>
  <c r="N9" i="1"/>
  <c r="H9" i="1"/>
  <c r="I10" i="1"/>
  <c r="B10" i="2"/>
  <c r="D9" i="2"/>
  <c r="C9" i="2"/>
  <c r="T32" i="1"/>
  <c r="I11" i="1" l="1"/>
  <c r="N10" i="1"/>
  <c r="H10" i="1"/>
  <c r="J10" i="1"/>
  <c r="D10" i="2"/>
  <c r="C10" i="2"/>
  <c r="B11" i="2"/>
  <c r="H11" i="1" l="1"/>
  <c r="J11" i="1"/>
  <c r="N11" i="1"/>
  <c r="I12" i="1"/>
  <c r="B12" i="2"/>
  <c r="D11" i="2"/>
  <c r="C11" i="2"/>
  <c r="J12" i="1" l="1"/>
  <c r="N12" i="1"/>
  <c r="I13" i="1"/>
  <c r="H12" i="1"/>
  <c r="B13" i="2"/>
  <c r="D12" i="2"/>
  <c r="C12" i="2"/>
  <c r="I14" i="1" l="1"/>
  <c r="H13" i="1"/>
  <c r="J13" i="1"/>
  <c r="N13" i="1"/>
  <c r="B14" i="2"/>
  <c r="D13" i="2"/>
  <c r="C13" i="2"/>
  <c r="H14" i="1" l="1"/>
  <c r="J14" i="1"/>
  <c r="N14" i="1"/>
  <c r="I15" i="1"/>
  <c r="B15" i="2"/>
  <c r="D14" i="2"/>
  <c r="C14" i="2"/>
  <c r="N15" i="1" l="1"/>
  <c r="I16" i="1"/>
  <c r="H15" i="1"/>
  <c r="J15" i="1"/>
  <c r="B16" i="2"/>
  <c r="D15" i="2"/>
  <c r="C15" i="2"/>
  <c r="I17" i="1" l="1"/>
  <c r="H16" i="1"/>
  <c r="J16" i="1"/>
  <c r="N16" i="1"/>
  <c r="B17" i="2"/>
  <c r="D16" i="2"/>
  <c r="C16" i="2"/>
  <c r="J17" i="1" l="1"/>
  <c r="H17" i="1"/>
  <c r="N17" i="1"/>
  <c r="I18" i="1"/>
  <c r="B18" i="2"/>
  <c r="D17" i="2"/>
  <c r="C17" i="2"/>
  <c r="T45" i="1"/>
  <c r="N18" i="1" l="1"/>
  <c r="I19" i="1"/>
  <c r="H18" i="1"/>
  <c r="J18" i="1"/>
  <c r="B19" i="2"/>
  <c r="D18" i="2"/>
  <c r="C18" i="2"/>
  <c r="T46" i="1"/>
  <c r="H19" i="1" l="1"/>
  <c r="J19" i="1"/>
  <c r="N19" i="1"/>
  <c r="I20" i="1"/>
  <c r="B20" i="2"/>
  <c r="D19" i="2"/>
  <c r="C19" i="2"/>
  <c r="T47" i="1"/>
  <c r="J20" i="1" l="1"/>
  <c r="N20" i="1"/>
  <c r="I21" i="1"/>
  <c r="H20" i="1"/>
  <c r="B21" i="2"/>
  <c r="D20" i="2"/>
  <c r="C20" i="2"/>
  <c r="T48" i="1"/>
  <c r="I22" i="1" l="1"/>
  <c r="N21" i="1"/>
  <c r="H21" i="1"/>
  <c r="J21" i="1"/>
  <c r="B22" i="2"/>
  <c r="D21" i="2"/>
  <c r="C21" i="2"/>
  <c r="H22" i="1" l="1"/>
  <c r="J22" i="1"/>
  <c r="N22" i="1"/>
  <c r="I33" i="1"/>
  <c r="B23" i="2"/>
  <c r="D22" i="2"/>
  <c r="C22" i="2"/>
  <c r="N33" i="1" l="1"/>
  <c r="J33" i="1"/>
  <c r="I34" i="1"/>
  <c r="H33" i="1"/>
  <c r="B24" i="2"/>
  <c r="D23" i="2"/>
  <c r="C23" i="2"/>
  <c r="I35" i="1" l="1"/>
  <c r="H34" i="1"/>
  <c r="J34" i="1"/>
  <c r="N34" i="1"/>
  <c r="B25" i="2"/>
  <c r="D24" i="2"/>
  <c r="C24" i="2"/>
  <c r="J35" i="1" l="1"/>
  <c r="N35" i="1"/>
  <c r="H35" i="1"/>
  <c r="I36" i="1"/>
  <c r="B26" i="2"/>
  <c r="D25" i="2"/>
  <c r="C25" i="2"/>
  <c r="N36" i="1" l="1"/>
  <c r="I37" i="1"/>
  <c r="H36" i="1"/>
  <c r="J36" i="1"/>
  <c r="T43" i="1"/>
  <c r="B27" i="2"/>
  <c r="C26" i="2"/>
  <c r="D26" i="2"/>
  <c r="H37" i="1" l="1"/>
  <c r="J37" i="1"/>
  <c r="N37" i="1"/>
  <c r="I38" i="1"/>
  <c r="B28" i="2"/>
  <c r="D27" i="2"/>
  <c r="C27" i="2"/>
  <c r="J38" i="1" l="1"/>
  <c r="N38" i="1"/>
  <c r="I39" i="1"/>
  <c r="H38" i="1"/>
  <c r="B29" i="2"/>
  <c r="D28" i="2"/>
  <c r="C28" i="2"/>
  <c r="I40" i="1" l="1"/>
  <c r="H39" i="1"/>
  <c r="J39" i="1"/>
  <c r="N39" i="1"/>
  <c r="B30" i="2"/>
  <c r="D29" i="2"/>
  <c r="C29" i="2"/>
  <c r="H40" i="1" l="1"/>
  <c r="J40" i="1"/>
  <c r="N40" i="1"/>
  <c r="I41" i="1"/>
  <c r="B31" i="2"/>
  <c r="D30" i="2"/>
  <c r="C30" i="2"/>
  <c r="N41" i="1" l="1"/>
  <c r="J41" i="1"/>
  <c r="I42" i="1"/>
  <c r="H41" i="1"/>
  <c r="B32" i="2"/>
  <c r="D31" i="2"/>
  <c r="C31" i="2"/>
  <c r="I44" i="1" l="1"/>
  <c r="H42" i="1"/>
  <c r="J42" i="1"/>
  <c r="N42" i="1"/>
  <c r="B33" i="2"/>
  <c r="D32" i="2"/>
  <c r="C32" i="2"/>
  <c r="J44" i="1" l="1"/>
  <c r="N44" i="1"/>
  <c r="H44" i="1"/>
  <c r="I51" i="1"/>
  <c r="B34" i="2"/>
  <c r="D33" i="2"/>
  <c r="C33" i="2"/>
  <c r="I52" i="1" l="1"/>
  <c r="H51" i="1"/>
  <c r="J51" i="1"/>
  <c r="N51" i="1"/>
  <c r="B35" i="2"/>
  <c r="D34" i="2"/>
  <c r="C34" i="2"/>
  <c r="H52" i="1" l="1"/>
  <c r="I53" i="1"/>
  <c r="J52" i="1"/>
  <c r="N52" i="1"/>
  <c r="B36" i="2"/>
  <c r="D35" i="2"/>
  <c r="C35" i="2"/>
  <c r="J53" i="1" l="1"/>
  <c r="N53" i="1"/>
  <c r="I54" i="1"/>
  <c r="H53" i="1"/>
  <c r="B37" i="2"/>
  <c r="D36" i="2"/>
  <c r="C36" i="2"/>
  <c r="I55" i="1" l="1"/>
  <c r="N54" i="1"/>
  <c r="H54" i="1"/>
  <c r="J54" i="1"/>
  <c r="B38" i="2"/>
  <c r="D37" i="2"/>
  <c r="C37" i="2"/>
  <c r="H55" i="1" l="1"/>
  <c r="J55" i="1"/>
  <c r="N55" i="1"/>
  <c r="I56" i="1"/>
  <c r="B39" i="2"/>
  <c r="D38" i="2"/>
  <c r="C38" i="2"/>
  <c r="N56" i="1" l="1"/>
  <c r="I57" i="1"/>
  <c r="J56" i="1"/>
  <c r="H56" i="1"/>
  <c r="B40" i="2"/>
  <c r="D39" i="2"/>
  <c r="C39" i="2"/>
  <c r="I58" i="1" l="1"/>
  <c r="H57" i="1"/>
  <c r="J57" i="1"/>
  <c r="N57" i="1"/>
  <c r="B41" i="2"/>
  <c r="D40" i="2"/>
  <c r="C40" i="2"/>
  <c r="J58" i="1" l="1"/>
  <c r="H58" i="1"/>
  <c r="N58" i="1"/>
  <c r="I59" i="1"/>
  <c r="B42" i="2"/>
  <c r="D41" i="2"/>
  <c r="C41" i="2"/>
  <c r="I60" i="1" l="1"/>
  <c r="N59" i="1"/>
  <c r="H59" i="1"/>
  <c r="J59" i="1"/>
  <c r="B43" i="2"/>
  <c r="D42" i="2"/>
  <c r="C42" i="2"/>
  <c r="H60" i="1" l="1"/>
  <c r="J60" i="1"/>
  <c r="N60" i="1"/>
  <c r="I61" i="1"/>
  <c r="B44" i="2"/>
  <c r="D43" i="2"/>
  <c r="C43" i="2"/>
  <c r="J61" i="1" l="1"/>
  <c r="N61" i="1"/>
  <c r="I62" i="1"/>
  <c r="H61" i="1"/>
  <c r="B45" i="2"/>
  <c r="D44" i="2"/>
  <c r="C44" i="2"/>
  <c r="I63" i="1" l="1"/>
  <c r="H62" i="1"/>
  <c r="J62" i="1"/>
  <c r="N62" i="1"/>
  <c r="B46" i="2"/>
  <c r="D45" i="2"/>
  <c r="C45" i="2"/>
  <c r="H63" i="1" l="1"/>
  <c r="J63" i="1"/>
  <c r="I64" i="1"/>
  <c r="N63" i="1"/>
  <c r="B47" i="2"/>
  <c r="D46" i="2"/>
  <c r="C46" i="2"/>
  <c r="N64" i="1" l="1"/>
  <c r="J64" i="1"/>
  <c r="I65" i="1"/>
  <c r="H64" i="1"/>
  <c r="B48" i="2"/>
  <c r="D47" i="2"/>
  <c r="C47" i="2"/>
  <c r="I66" i="1" l="1"/>
  <c r="H65" i="1"/>
  <c r="J65" i="1"/>
  <c r="N65" i="1"/>
  <c r="B49" i="2"/>
  <c r="D48" i="2"/>
  <c r="C48" i="2"/>
  <c r="J66" i="1" l="1"/>
  <c r="H66" i="1"/>
  <c r="N66" i="1"/>
  <c r="I67" i="1"/>
  <c r="B50" i="2"/>
  <c r="D49" i="2"/>
  <c r="C49" i="2"/>
  <c r="I68" i="1" l="1"/>
  <c r="J67" i="1"/>
  <c r="N67" i="1"/>
  <c r="H67" i="1"/>
  <c r="B51" i="2"/>
  <c r="D50" i="2"/>
  <c r="C50" i="2"/>
  <c r="H68" i="1" l="1"/>
  <c r="J68" i="1"/>
  <c r="N68" i="1"/>
  <c r="I69" i="1"/>
  <c r="B52" i="2"/>
  <c r="D51" i="2"/>
  <c r="C51" i="2"/>
  <c r="J69" i="1" l="1"/>
  <c r="N69" i="1"/>
  <c r="I70" i="1"/>
  <c r="H69" i="1"/>
  <c r="B53" i="2"/>
  <c r="D52" i="2"/>
  <c r="C52" i="2"/>
  <c r="I71" i="1" l="1"/>
  <c r="N70" i="1"/>
  <c r="H70" i="1"/>
  <c r="J70" i="1"/>
  <c r="B54" i="2"/>
  <c r="D53" i="2"/>
  <c r="C53" i="2"/>
  <c r="H71" i="1" l="1"/>
  <c r="J71" i="1"/>
  <c r="N71" i="1"/>
  <c r="I72" i="1"/>
  <c r="B55" i="2"/>
  <c r="D54" i="2"/>
  <c r="C54" i="2"/>
  <c r="N72" i="1" l="1"/>
  <c r="J72" i="1"/>
  <c r="I73" i="1"/>
  <c r="H72" i="1"/>
  <c r="B56" i="2"/>
  <c r="D55" i="2"/>
  <c r="C55" i="2"/>
  <c r="I74" i="1" l="1"/>
  <c r="H73" i="1"/>
  <c r="J73" i="1"/>
  <c r="N73" i="1"/>
  <c r="B57" i="2"/>
  <c r="D56" i="2"/>
  <c r="C56" i="2"/>
  <c r="H74" i="1" l="1"/>
  <c r="J74" i="1"/>
  <c r="N74" i="1"/>
  <c r="I75" i="1"/>
  <c r="B58" i="2"/>
  <c r="D57" i="2"/>
  <c r="C57" i="2"/>
  <c r="I76" i="1" l="1"/>
  <c r="J75" i="1"/>
  <c r="H75" i="1"/>
  <c r="N75" i="1"/>
  <c r="B59" i="2"/>
  <c r="C58" i="2"/>
  <c r="D58" i="2"/>
  <c r="H76" i="1" l="1"/>
  <c r="J76" i="1"/>
  <c r="N76" i="1"/>
  <c r="I98" i="1"/>
  <c r="B60" i="2"/>
  <c r="D59" i="2"/>
  <c r="C59" i="2"/>
  <c r="J98" i="1" l="1"/>
  <c r="N98" i="1"/>
  <c r="I99" i="1"/>
  <c r="H98" i="1"/>
  <c r="B61" i="2"/>
  <c r="D60" i="2"/>
  <c r="C60" i="2"/>
  <c r="H99" i="1" l="1"/>
  <c r="I100" i="1"/>
  <c r="I101" i="1" s="1"/>
  <c r="J99" i="1"/>
  <c r="B62" i="2"/>
  <c r="D61" i="2"/>
  <c r="C61" i="2"/>
  <c r="I102" i="1" l="1"/>
  <c r="N101" i="1"/>
  <c r="H101" i="1"/>
  <c r="J101" i="1"/>
  <c r="N100" i="1"/>
  <c r="J100" i="1"/>
  <c r="H100" i="1"/>
  <c r="B63" i="2"/>
  <c r="D62" i="2"/>
  <c r="C62" i="2"/>
  <c r="I103" i="1" l="1"/>
  <c r="N102" i="1"/>
  <c r="J102" i="1"/>
  <c r="H102" i="1"/>
  <c r="B64" i="2"/>
  <c r="D63" i="2"/>
  <c r="C63" i="2"/>
  <c r="I104" i="1" l="1"/>
  <c r="I43" i="1" s="1"/>
  <c r="I49" i="1" s="1"/>
  <c r="N103" i="1"/>
  <c r="H103" i="1"/>
  <c r="J103" i="1"/>
  <c r="B65" i="2"/>
  <c r="D64" i="2"/>
  <c r="C64" i="2"/>
  <c r="N104" i="1" l="1"/>
  <c r="H104" i="1"/>
  <c r="J104" i="1"/>
  <c r="B66" i="2"/>
  <c r="D65" i="2"/>
  <c r="C65" i="2"/>
  <c r="B67" i="2" l="1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I23" i="1" l="1"/>
  <c r="J23" i="1" s="1"/>
  <c r="H23" i="1"/>
  <c r="N23" i="1" l="1"/>
  <c r="I24" i="1"/>
  <c r="I25" i="1" s="1"/>
  <c r="H24" i="1"/>
  <c r="J24" i="1"/>
  <c r="N24" i="1"/>
  <c r="N25" i="1" l="1"/>
  <c r="J25" i="1"/>
  <c r="H25" i="1"/>
  <c r="I26" i="1"/>
  <c r="N26" i="1" l="1"/>
  <c r="H26" i="1"/>
  <c r="I27" i="1"/>
  <c r="J26" i="1"/>
  <c r="J27" i="1" l="1"/>
  <c r="I28" i="1"/>
  <c r="N27" i="1"/>
  <c r="H27" i="1"/>
  <c r="H28" i="1" l="1"/>
  <c r="N28" i="1"/>
  <c r="J28" i="1"/>
  <c r="I29" i="1"/>
  <c r="I30" i="1" l="1"/>
  <c r="H29" i="1"/>
  <c r="J29" i="1"/>
  <c r="N29" i="1"/>
  <c r="N30" i="1" l="1"/>
  <c r="I31" i="1"/>
  <c r="J30" i="1"/>
  <c r="H30" i="1"/>
  <c r="J31" i="1" l="1"/>
  <c r="I32" i="1"/>
  <c r="H31" i="1"/>
  <c r="N31" i="1"/>
  <c r="N32" i="1" l="1"/>
  <c r="J32" i="1"/>
  <c r="I45" i="1"/>
  <c r="H32" i="1"/>
  <c r="H45" i="1" l="1"/>
  <c r="N45" i="1"/>
  <c r="I46" i="1"/>
  <c r="J45" i="1"/>
  <c r="H46" i="1" l="1"/>
  <c r="J46" i="1"/>
  <c r="I47" i="1"/>
  <c r="N46" i="1"/>
  <c r="I48" i="1" l="1"/>
  <c r="H47" i="1"/>
  <c r="J47" i="1"/>
  <c r="N47" i="1"/>
  <c r="N48" i="1" l="1"/>
  <c r="J48" i="1"/>
  <c r="H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<sst xmlns="http://schemas.openxmlformats.org/spreadsheetml/2006/main" count="2093" uniqueCount="315">
  <si>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</si>
  <si>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</si>
  <si>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</si>
  <si>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</si>
  <si>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</si>
  <si>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</si>
  <si>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</si>
  <si>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</si>
  <si>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</si>
  <si>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</si>
  <si>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</si>
  <si>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</si>
  <si>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</si>
  <si>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</si>
  <si>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</si>
  <si>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</si>
  <si>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</si>
  <si>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</si>
  <si>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</si>
  <si>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</si>
  <si>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</si>
  <si>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</si>
  <si>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</si>
  <si>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</si>
  <si>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</si>
  <si>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</si>
  <si>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</si>
  <si>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</si>
  <si>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</si>
  <si>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</si>
  <si>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</si>
  <si>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</si>
  <si>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</si>
  <si>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</si>
  <si>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</si>
  <si>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</si>
  <si>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</si>
  <si>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</si>
  <si>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</si>
  <si>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</si>
  <si>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</si>
  <si>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</si>
  <si>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</si>
  <si>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</si>
  <si>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</si>
  <si>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</si>
  <si>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</si>
  <si>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</si>
  <si>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</si>
  <si>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</si>
  <si>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</si>
  <si>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</si>
  <si>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</si>
  <si>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</si>
  <si>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</si>
  <si>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</si>
  <si>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</si>
  <si>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</si>
  <si>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</si>
  <si>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</si>
  <si>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</si>
  <si>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</si>
  <si>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</si>
  <si>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</si>
  <si>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</si>
  <si>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</si>
  <si>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</si>
  <si>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</si>
  <si>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</si>
  <si>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</si>
  <si>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</si>
  <si>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</si>
  <si>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</si>
  <si>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</si>
  <si>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</si>
  <si>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</si>
  <si>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</si>
  <si>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</si>
  <si>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</si>
  <si>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</si>
  <si>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</si>
  <si>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</si>
  <si>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</si>
  <si>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</si>
  <si>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</si>
  <si>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</si>
  <si>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</si>
  <si>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</si>
  <si>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</si>
  <si>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</si>
  <si>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</si>
  <si>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</si>
  <si>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</si>
  <si>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</si>
  <si>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</si>
  <si>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</si>
  <si>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</si>
  <si>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</si>
  <si>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</si>
  <si>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</si>
  <si>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</si>
  <si>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</si>
  <si>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</si>
  <si>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</si>
  <si>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</si>
  <si>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</si>
  <si>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</si>
  <si>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</si>
  <si>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</si>
  <si>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</si>
  <si>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</si>
  <si>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</si>
  <si>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</si>
  <si>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</si>
  <si>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</si>
  <si>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</si>
  <si>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</si>
  <si>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</si>
  <si>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</si>
  <si>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</si>
  <si>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</si>
  <si>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</si>
  <si>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</si>
  <si>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</si>
  <si>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</si>
  <si>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</si>
  <si>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</si>
  <si>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</si>
  <si>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</si>
  <si>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</si>
  <si>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</si>
  <si>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</si>
  <si>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</si>
  <si>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</si>
  <si>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</si>
  <si>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</si>
  <si>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</si>
  <si>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</si>
  <si>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</si>
  <si>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</si>
  <si>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</si>
  <si>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</si>
  <si>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</si>
  <si>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</si>
  <si>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</si>
  <si>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</si>
  <si>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</si>
  <si>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>PHY-6</t>
  </si>
  <si>
    <t>PHY-7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</si>
  <si>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</si>
  <si>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</si>
  <si>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</si>
  <si>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</si>
  <si>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</si>
  <si>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</si>
  <si>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</si>
  <si>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</si>
  <si>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</si>
  <si>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</si>
  <si>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</si>
  <si>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</si>
  <si>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</si>
  <si>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</si>
  <si>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</si>
  <si>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</si>
  <si>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</si>
  <si>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</si>
  <si>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</si>
  <si>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</si>
  <si>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</si>
  <si>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</si>
  <si>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</si>
  <si>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</si>
  <si>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</si>
  <si>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</si>
  <si>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</si>
  <si>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</si>
  <si>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</si>
  <si>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</si>
  <si>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</si>
  <si>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</si>
  <si>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</si>
  <si>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</si>
  <si>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</si>
  <si>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</si>
  <si>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</si>
  <si>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</si>
  <si>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</si>
  <si>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</si>
  <si>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</si>
  <si>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</si>
  <si>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</si>
  <si>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</si>
  <si>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</si>
  <si>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</si>
  <si>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</si>
  <si>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</si>
  <si>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</si>
  <si>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</si>
  <si>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</si>
  <si>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</si>
  <si>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</si>
  <si>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</si>
  <si>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</si>
  <si>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</si>
  <si>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</si>
  <si>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</si>
  <si>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</si>
  <si>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</si>
  <si>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</si>
  <si>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</si>
  <si>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</si>
  <si>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</si>
  <si>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</si>
  <si>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</si>
  <si>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</si>
  <si>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</si>
  <si>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</si>
  <si>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</si>
  <si>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</si>
  <si>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</si>
  <si>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</si>
  <si>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</si>
  <si>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</si>
  <si>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</si>
  <si>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</si>
  <si>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</si>
  <si>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</si>
  <si>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</si>
  <si>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</si>
  <si>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</si>
  <si>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</si>
  <si>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</si>
  <si>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</si>
  <si>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</si>
  <si>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</si>
  <si>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</si>
  <si>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</si>
  <si>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</si>
  <si>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</si>
  <si>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</si>
  <si>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</si>
  <si>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</si>
  <si>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</si>
  <si>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</si>
  <si>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</si>
  <si>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</si>
  <si>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</si>
  <si>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</si>
  <si>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</si>
  <si>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</si>
  <si>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</si>
  <si>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</si>
  <si>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</si>
  <si>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</si>
  <si>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</si>
  <si>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</si>
  <si>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</si>
  <si>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</si>
  <si>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</si>
  <si>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</si>
  <si>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</si>
  <si>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</si>
  <si>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</si>
  <si>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</si>
  <si>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</si>
  <si>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</si>
  <si>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</si>
  <si>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Valve Position Signal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</si>
  <si>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</si>
  <si>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</si>
  <si>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</si>
  <si>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</si>
  <si>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</si>
  <si>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</si>
  <si>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</si>
  <si>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</si>
  <si>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</si>
  <si>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</si>
  <si>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</si>
  <si>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</si>
  <si>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AVAILABLE</t>
  </si>
  <si>
    <t>Bad Valve Pos</t>
  </si>
  <si>
    <t>Validated</t>
  </si>
  <si>
    <t>SIG-38</t>
  </si>
  <si>
    <t>Conductivity Analog</t>
  </si>
  <si>
    <t>Flow Analog</t>
  </si>
  <si>
    <t>SIG-39</t>
  </si>
  <si>
    <t>System Diagnostics</t>
  </si>
  <si>
    <t>Temperature Sensor Malfunction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</si>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</sst>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8" fillId="0" borderId="0" xfId="0" applyFont="1"/>
    <xf numFmtId="0" fontId="6" fillId="0" borderId="0" xfId="0" applyFont="1"/>
    <xf numFmtId="0" fontId="12" fillId="0" borderId="0" xfId="0" applyFont="1"/>
    <xf numFmtId="0" fontId="11" fillId="0" borderId="0" xfId="0" applyFont="1"/>
    <xf numFmtId="0" fontId="5" fillId="0" borderId="0" xfId="0" applyFont="1"/>
    <xf numFmtId="0" fontId="9" fillId="0" borderId="0" xfId="0" applyFont="1"/>
    <xf numFmtId="0" fontId="7" fillId="0" borderId="0" xfId="0" applyFont="1"/>
    <xf numFmtId="0" fontId="4" fillId="0" borderId="0" xfId="0" applyFont="1"/>
    <xf numFmtId="0" fontId="3" fillId="0" borderId="0" xfId="0" applyFont="1"/>
    <xf numFmtId="0" fontId="3" fillId="0" borderId="1" xfId="0" applyFont="1" applyBorder="1"/>
    <xf numFmtId="0" fontId="13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4" totalsRowShown="0" headerRowDxfId="23">
  <autoFilter ref="A1:W104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zoomScale="75" zoomScaleNormal="75" workbookViewId="0">
      <selection activeCell="K107" sqref="K107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300</v>
      </c>
      <c r="E1" s="3" t="s">
        <v>213</v>
      </c>
      <c r="F1" s="3" t="s">
        <v>190</v>
      </c>
      <c r="G1" s="3" t="s">
        <v>191</v>
      </c>
      <c r="H1" s="3" t="s">
        <v>183</v>
      </c>
      <c r="I1" s="3" t="s">
        <v>3</v>
      </c>
      <c r="J1" s="3" t="s">
        <v>189</v>
      </c>
      <c r="K1" s="2" t="s">
        <v>256</v>
      </c>
      <c r="L1" s="2" t="s">
        <v>311</v>
      </c>
      <c r="M1" s="2" t="s">
        <v>260</v>
      </c>
      <c r="N1" s="4" t="s">
        <v>184</v>
      </c>
      <c r="O1" s="4" t="s">
        <v>211</v>
      </c>
      <c r="P1" s="4" t="s">
        <v>209</v>
      </c>
      <c r="Q1" s="4" t="s">
        <v>210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174</v>
      </c>
      <c r="W1" s="11" t="s">
        <v>283</v>
      </c>
    </row>
    <row r="2" spans="1:23" ht="14.25" customHeight="1" x14ac:dyDescent="0.3">
      <c r="A2" s="5" t="s">
        <v>8</v>
      </c>
      <c r="B2" s="6" t="s">
        <v>181</v>
      </c>
      <c r="C2" s="6" t="s">
        <v>182</v>
      </c>
      <c r="D2" s="6" t="s">
        <v>290</v>
      </c>
      <c r="E2" s="6" t="s">
        <v>214</v>
      </c>
      <c r="F2" s="6" t="s">
        <v>12</v>
      </c>
      <c r="G2" s="5" t="s">
        <v>12</v>
      </c>
      <c r="H2" s="5" t="s">
        <v>12</v>
      </c>
      <c r="I2" s="6" t="s">
        <v>12</v>
      </c>
      <c r="J2" s="5" t="s">
        <v>12</v>
      </c>
      <c r="K2" s="8" t="s">
        <v>12</v>
      </c>
      <c r="L2" s="8"/>
      <c r="M2" s="8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12</v>
      </c>
      <c r="S2" s="5" t="s">
        <v>12</v>
      </c>
      <c r="T2" s="5" t="s">
        <v>235</v>
      </c>
      <c r="U2" s="6" t="s">
        <v>138</v>
      </c>
      <c r="V2" s="6" t="s">
        <v>13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10</v>
      </c>
      <c r="D3" s="14" t="s">
        <v>290</v>
      </c>
      <c r="E3" s="6" t="s">
        <v>214</v>
      </c>
      <c r="F3" s="7" t="s">
        <v>11</v>
      </c>
      <c r="G3" s="5" t="s">
        <v>194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255</v>
      </c>
      <c r="L3" s="6" t="s">
        <v>314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12</v>
      </c>
      <c r="P3" s="5" t="s">
        <v>12</v>
      </c>
      <c r="Q3" s="5" t="s">
        <v>12</v>
      </c>
      <c r="R3" s="7" t="s">
        <v>12</v>
      </c>
      <c r="S3" s="7" t="s">
        <v>13</v>
      </c>
      <c r="T3" t="str">
        <f t="shared" ref="T3:T18" si="2">_xlfn.CONCAT("axSW[",AB1, "]")</f>
        <v>axSW[]</v>
      </c>
      <c r="U3" s="6" t="s">
        <v>138</v>
      </c>
      <c r="V3" s="6" t="s">
        <v>13</v>
      </c>
      <c r="W3" s="12" t="b">
        <v>1</v>
      </c>
    </row>
    <row r="4" spans="1:23" ht="14.25" customHeight="1" x14ac:dyDescent="0.3">
      <c r="A4" s="5" t="s">
        <v>8</v>
      </c>
      <c r="B4" s="7" t="s">
        <v>14</v>
      </c>
      <c r="C4" s="7" t="s">
        <v>15</v>
      </c>
      <c r="D4" s="14" t="s">
        <v>290</v>
      </c>
      <c r="E4" s="6" t="s">
        <v>214</v>
      </c>
      <c r="F4" s="7" t="s">
        <v>11</v>
      </c>
      <c r="G4" s="5" t="s">
        <v>194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255</v>
      </c>
      <c r="L4" s="6" t="s">
        <v>314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12</v>
      </c>
      <c r="P4" s="5" t="s">
        <v>12</v>
      </c>
      <c r="Q4" s="5" t="s">
        <v>12</v>
      </c>
      <c r="R4" s="7" t="s">
        <v>12</v>
      </c>
      <c r="S4" s="7" t="s">
        <v>13</v>
      </c>
      <c r="T4" t="str">
        <f t="shared" si="2"/>
        <v>axSW[]</v>
      </c>
      <c r="U4" s="6" t="s">
        <v>138</v>
      </c>
      <c r="V4" s="6" t="s">
        <v>13</v>
      </c>
      <c r="W4" s="12" t="b">
        <v>1</v>
      </c>
    </row>
    <row r="5" spans="1:23" ht="14.25" customHeight="1" x14ac:dyDescent="0.3">
      <c r="A5" s="5" t="s">
        <v>8</v>
      </c>
      <c r="B5" s="7" t="s">
        <v>16</v>
      </c>
      <c r="C5" s="7" t="s">
        <v>17</v>
      </c>
      <c r="D5" s="14" t="s">
        <v>292</v>
      </c>
      <c r="E5" s="6" t="s">
        <v>214</v>
      </c>
      <c r="F5" s="7" t="s">
        <v>11</v>
      </c>
      <c r="G5" s="5" t="s">
        <v>194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255</v>
      </c>
      <c r="L5" s="6" t="s">
        <v>314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12</v>
      </c>
      <c r="P5" s="5" t="s">
        <v>12</v>
      </c>
      <c r="Q5" s="5" t="s">
        <v>12</v>
      </c>
      <c r="R5" s="7" t="s">
        <v>12</v>
      </c>
      <c r="S5" s="7" t="s">
        <v>13</v>
      </c>
      <c r="T5" t="str">
        <f t="shared" si="2"/>
        <v>axSW[]</v>
      </c>
      <c r="U5" s="6" t="s">
        <v>138</v>
      </c>
      <c r="V5" s="6" t="s">
        <v>13</v>
      </c>
      <c r="W5" s="12" t="b">
        <v>1</v>
      </c>
    </row>
    <row r="6" spans="1:23" ht="14.25" customHeight="1" x14ac:dyDescent="0.3">
      <c r="A6" s="5" t="s">
        <v>8</v>
      </c>
      <c r="B6" s="7" t="s">
        <v>18</v>
      </c>
      <c r="C6" s="7" t="s">
        <v>19</v>
      </c>
      <c r="D6" s="14" t="s">
        <v>292</v>
      </c>
      <c r="E6" s="6" t="s">
        <v>214</v>
      </c>
      <c r="F6" s="7" t="s">
        <v>11</v>
      </c>
      <c r="G6" s="5" t="s">
        <v>194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255</v>
      </c>
      <c r="L6" s="6" t="s">
        <v>314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12</v>
      </c>
      <c r="P6" s="5" t="s">
        <v>12</v>
      </c>
      <c r="Q6" s="5" t="s">
        <v>12</v>
      </c>
      <c r="R6" s="7" t="s">
        <v>12</v>
      </c>
      <c r="S6" s="7" t="s">
        <v>13</v>
      </c>
      <c r="T6" t="str">
        <f t="shared" si="2"/>
        <v>axSW[]</v>
      </c>
      <c r="U6" s="6" t="s">
        <v>138</v>
      </c>
      <c r="V6" s="6" t="s">
        <v>13</v>
      </c>
      <c r="W6" s="12" t="b">
        <v>1</v>
      </c>
    </row>
    <row r="7" spans="1:23" ht="14.25" customHeight="1" x14ac:dyDescent="0.3">
      <c r="A7" s="5" t="s">
        <v>8</v>
      </c>
      <c r="B7" s="7" t="s">
        <v>20</v>
      </c>
      <c r="C7" s="7" t="s">
        <v>21</v>
      </c>
      <c r="D7" s="14" t="s">
        <v>291</v>
      </c>
      <c r="E7" s="6" t="s">
        <v>214</v>
      </c>
      <c r="F7" s="7" t="s">
        <v>11</v>
      </c>
      <c r="G7" s="5" t="s">
        <v>194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257</v>
      </c>
      <c r="L7" s="6" t="s">
        <v>314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12</v>
      </c>
      <c r="P7" s="5" t="s">
        <v>12</v>
      </c>
      <c r="Q7" s="5" t="s">
        <v>12</v>
      </c>
      <c r="R7" s="7" t="s">
        <v>12</v>
      </c>
      <c r="S7" s="7" t="s">
        <v>13</v>
      </c>
      <c r="T7" t="str">
        <f t="shared" si="2"/>
        <v>axSW[]</v>
      </c>
      <c r="U7" s="6" t="s">
        <v>138</v>
      </c>
      <c r="V7" s="5" t="s">
        <v>138</v>
      </c>
      <c r="W7" s="12" t="b">
        <v>0</v>
      </c>
    </row>
    <row r="8" spans="1:23" ht="14.25" customHeight="1" x14ac:dyDescent="0.3">
      <c r="A8" s="5" t="s">
        <v>8</v>
      </c>
      <c r="B8" s="7" t="s">
        <v>22</v>
      </c>
      <c r="C8" s="7" t="s">
        <v>23</v>
      </c>
      <c r="D8" s="14" t="s">
        <v>293</v>
      </c>
      <c r="E8" s="6" t="s">
        <v>214</v>
      </c>
      <c r="F8" s="7" t="s">
        <v>11</v>
      </c>
      <c r="G8" s="5" t="s">
        <v>194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257</v>
      </c>
      <c r="L8" s="6" t="s">
        <v>314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12</v>
      </c>
      <c r="P8" s="5" t="s">
        <v>12</v>
      </c>
      <c r="Q8" s="5" t="s">
        <v>12</v>
      </c>
      <c r="R8" s="7" t="s">
        <v>12</v>
      </c>
      <c r="S8" s="7" t="s">
        <v>13</v>
      </c>
      <c r="T8" t="str">
        <f t="shared" si="2"/>
        <v>axSW[]</v>
      </c>
      <c r="U8" s="6" t="s">
        <v>138</v>
      </c>
      <c r="V8" s="5" t="s">
        <v>138</v>
      </c>
      <c r="W8" s="12" t="b">
        <v>1</v>
      </c>
    </row>
    <row r="9" spans="1:23" ht="14.25" customHeight="1" x14ac:dyDescent="0.3">
      <c r="A9" s="5" t="s">
        <v>8</v>
      </c>
      <c r="B9" s="7" t="s">
        <v>24</v>
      </c>
      <c r="C9" s="7" t="s">
        <v>281</v>
      </c>
      <c r="D9" s="14" t="s">
        <v>12</v>
      </c>
      <c r="E9" s="6" t="s">
        <v>215</v>
      </c>
      <c r="F9" s="7" t="s">
        <v>11</v>
      </c>
      <c r="G9" s="5" t="s">
        <v>194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12</v>
      </c>
      <c r="L9" s="6" t="s">
        <v>314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12</v>
      </c>
      <c r="P9" s="5" t="s">
        <v>12</v>
      </c>
      <c r="Q9" s="5" t="s">
        <v>12</v>
      </c>
      <c r="R9" s="7" t="s">
        <v>12</v>
      </c>
      <c r="S9" s="7" t="s">
        <v>13</v>
      </c>
      <c r="T9" t="str">
        <f t="shared" si="2"/>
        <v>axSW[]</v>
      </c>
      <c r="U9" s="6" t="s">
        <v>138</v>
      </c>
      <c r="V9" s="5" t="s">
        <v>13</v>
      </c>
      <c r="W9" s="12" t="b">
        <v>0</v>
      </c>
    </row>
    <row r="10" spans="1:23" ht="14.25" customHeight="1" x14ac:dyDescent="0.3">
      <c r="A10" s="5" t="s">
        <v>8</v>
      </c>
      <c r="B10" s="7" t="s">
        <v>25</v>
      </c>
      <c r="C10" s="7" t="s">
        <v>26</v>
      </c>
      <c r="D10" s="14" t="s">
        <v>293</v>
      </c>
      <c r="E10" s="6" t="s">
        <v>214</v>
      </c>
      <c r="F10" s="7" t="s">
        <v>11</v>
      </c>
      <c r="G10" s="5" t="s">
        <v>194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257</v>
      </c>
      <c r="L10" s="6" t="s">
        <v>314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12</v>
      </c>
      <c r="P10" s="5" t="s">
        <v>12</v>
      </c>
      <c r="Q10" s="5" t="s">
        <v>12</v>
      </c>
      <c r="R10" s="7" t="s">
        <v>12</v>
      </c>
      <c r="S10" s="7" t="s">
        <v>13</v>
      </c>
      <c r="T10" t="str">
        <f t="shared" si="2"/>
        <v>axSW[]</v>
      </c>
      <c r="U10" s="6" t="s">
        <v>138</v>
      </c>
      <c r="V10" s="5" t="s">
        <v>13</v>
      </c>
      <c r="W10" s="12" t="b">
        <v>1</v>
      </c>
    </row>
    <row r="11" spans="1:23" ht="14.25" customHeight="1" x14ac:dyDescent="0.3">
      <c r="A11" s="5" t="s">
        <v>8</v>
      </c>
      <c r="B11" s="7" t="s">
        <v>27</v>
      </c>
      <c r="C11" s="7" t="s">
        <v>28</v>
      </c>
      <c r="D11" s="14" t="s">
        <v>293</v>
      </c>
      <c r="E11" s="6" t="s">
        <v>214</v>
      </c>
      <c r="F11" s="7" t="s">
        <v>11</v>
      </c>
      <c r="G11" s="13" t="s">
        <v>194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257</v>
      </c>
      <c r="L11" s="6" t="s">
        <v>314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12</v>
      </c>
      <c r="P11" s="5" t="s">
        <v>12</v>
      </c>
      <c r="Q11" s="5" t="s">
        <v>12</v>
      </c>
      <c r="R11" s="7" t="s">
        <v>12</v>
      </c>
      <c r="S11" s="7" t="s">
        <v>13</v>
      </c>
      <c r="T11" t="str">
        <f t="shared" si="2"/>
        <v>axSW[]</v>
      </c>
      <c r="U11" s="6" t="s">
        <v>138</v>
      </c>
      <c r="V11" s="5" t="s">
        <v>13</v>
      </c>
      <c r="W11" s="12" t="b">
        <v>1</v>
      </c>
    </row>
    <row r="12" spans="1:23" ht="14.25" customHeight="1" x14ac:dyDescent="0.3">
      <c r="A12" s="5" t="s">
        <v>8</v>
      </c>
      <c r="B12" s="7" t="s">
        <v>29</v>
      </c>
      <c r="C12" s="7" t="s">
        <v>30</v>
      </c>
      <c r="D12" s="14" t="s">
        <v>299</v>
      </c>
      <c r="E12" s="6" t="s">
        <v>214</v>
      </c>
      <c r="F12" s="7" t="s">
        <v>11</v>
      </c>
      <c r="G12" s="5" t="s">
        <v>194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255</v>
      </c>
      <c r="L12" s="6" t="s">
        <v>314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12</v>
      </c>
      <c r="P12" s="5" t="s">
        <v>12</v>
      </c>
      <c r="Q12" s="5" t="s">
        <v>12</v>
      </c>
      <c r="R12" s="7" t="s">
        <v>12</v>
      </c>
      <c r="S12" s="7" t="s">
        <v>13</v>
      </c>
      <c r="T12" t="str">
        <f t="shared" si="2"/>
        <v>axSW[]</v>
      </c>
      <c r="U12" s="6" t="s">
        <v>138</v>
      </c>
      <c r="V12" s="5" t="s">
        <v>13</v>
      </c>
      <c r="W12" s="12" t="b">
        <v>0</v>
      </c>
    </row>
    <row r="13" spans="1:23" ht="14.25" customHeight="1" x14ac:dyDescent="0.3">
      <c r="A13" s="5" t="s">
        <v>8</v>
      </c>
      <c r="B13" s="7" t="s">
        <v>31</v>
      </c>
      <c r="C13" s="7" t="s">
        <v>32</v>
      </c>
      <c r="D13" s="14" t="s">
        <v>299</v>
      </c>
      <c r="E13" s="6" t="s">
        <v>214</v>
      </c>
      <c r="F13" s="7" t="s">
        <v>11</v>
      </c>
      <c r="G13" s="5" t="s">
        <v>194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255</v>
      </c>
      <c r="L13" s="6" t="s">
        <v>314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12</v>
      </c>
      <c r="P13" s="5" t="s">
        <v>12</v>
      </c>
      <c r="Q13" s="5" t="s">
        <v>12</v>
      </c>
      <c r="R13" s="7" t="s">
        <v>12</v>
      </c>
      <c r="S13" s="7" t="s">
        <v>13</v>
      </c>
      <c r="T13" t="str">
        <f t="shared" si="2"/>
        <v>axSW[]</v>
      </c>
      <c r="U13" s="6" t="s">
        <v>138</v>
      </c>
      <c r="V13" s="5" t="s">
        <v>13</v>
      </c>
      <c r="W13" s="12" t="b">
        <v>0</v>
      </c>
    </row>
    <row r="14" spans="1:23" ht="14.25" customHeight="1" x14ac:dyDescent="0.3">
      <c r="A14" s="5" t="s">
        <v>8</v>
      </c>
      <c r="B14" s="7" t="s">
        <v>33</v>
      </c>
      <c r="C14" s="7" t="s">
        <v>34</v>
      </c>
      <c r="D14" s="14" t="s">
        <v>292</v>
      </c>
      <c r="E14" s="6" t="s">
        <v>214</v>
      </c>
      <c r="F14" s="7" t="s">
        <v>11</v>
      </c>
      <c r="G14" s="5" t="s">
        <v>194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255</v>
      </c>
      <c r="L14" s="6" t="s">
        <v>314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12</v>
      </c>
      <c r="P14" s="5" t="s">
        <v>12</v>
      </c>
      <c r="Q14" s="5" t="s">
        <v>12</v>
      </c>
      <c r="R14" s="7" t="s">
        <v>12</v>
      </c>
      <c r="S14" s="7" t="s">
        <v>13</v>
      </c>
      <c r="T14" t="str">
        <f t="shared" si="2"/>
        <v>axSW[]</v>
      </c>
      <c r="U14" s="6" t="s">
        <v>138</v>
      </c>
      <c r="V14" s="5" t="s">
        <v>13</v>
      </c>
      <c r="W14" s="12" t="b">
        <v>0</v>
      </c>
    </row>
    <row r="15" spans="1:23" ht="14.25" customHeight="1" x14ac:dyDescent="0.3">
      <c r="A15" s="5" t="s">
        <v>8</v>
      </c>
      <c r="B15" s="7" t="s">
        <v>35</v>
      </c>
      <c r="C15" s="7" t="s">
        <v>36</v>
      </c>
      <c r="D15" s="14" t="s">
        <v>292</v>
      </c>
      <c r="E15" s="6" t="s">
        <v>214</v>
      </c>
      <c r="F15" s="7" t="s">
        <v>11</v>
      </c>
      <c r="G15" s="5" t="s">
        <v>194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255</v>
      </c>
      <c r="L15" s="6" t="s">
        <v>314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12</v>
      </c>
      <c r="P15" s="5" t="s">
        <v>12</v>
      </c>
      <c r="Q15" s="5" t="s">
        <v>12</v>
      </c>
      <c r="R15" s="7" t="s">
        <v>12</v>
      </c>
      <c r="S15" s="7" t="s">
        <v>13</v>
      </c>
      <c r="T15" t="str">
        <f t="shared" si="2"/>
        <v>axSW[]</v>
      </c>
      <c r="U15" s="6" t="s">
        <v>138</v>
      </c>
      <c r="V15" s="5" t="s">
        <v>13</v>
      </c>
      <c r="W15" s="12" t="b">
        <v>0</v>
      </c>
    </row>
    <row r="16" spans="1:23" ht="14.25" customHeight="1" x14ac:dyDescent="0.3">
      <c r="A16" s="5" t="s">
        <v>8</v>
      </c>
      <c r="B16" s="7" t="s">
        <v>37</v>
      </c>
      <c r="C16" s="7" t="s">
        <v>38</v>
      </c>
      <c r="D16" s="14" t="s">
        <v>290</v>
      </c>
      <c r="E16" s="6" t="s">
        <v>214</v>
      </c>
      <c r="F16" s="7" t="s">
        <v>11</v>
      </c>
      <c r="G16" s="5" t="s">
        <v>194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255</v>
      </c>
      <c r="L16" s="6" t="s">
        <v>314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12</v>
      </c>
      <c r="P16" s="5" t="s">
        <v>12</v>
      </c>
      <c r="Q16" s="5" t="s">
        <v>12</v>
      </c>
      <c r="R16" s="7" t="s">
        <v>12</v>
      </c>
      <c r="S16" s="7" t="s">
        <v>13</v>
      </c>
      <c r="T16" t="str">
        <f t="shared" si="2"/>
        <v>axSW[]</v>
      </c>
      <c r="U16" s="6" t="s">
        <v>138</v>
      </c>
      <c r="V16" s="5" t="s">
        <v>13</v>
      </c>
      <c r="W16" s="12" t="b">
        <v>0</v>
      </c>
    </row>
    <row r="17" spans="1:23" ht="14.25" customHeight="1" x14ac:dyDescent="0.3">
      <c r="A17" s="5" t="s">
        <v>8</v>
      </c>
      <c r="B17" s="7" t="s">
        <v>198</v>
      </c>
      <c r="C17" s="5" t="s">
        <v>281</v>
      </c>
      <c r="D17" s="5"/>
      <c r="E17" s="6" t="s">
        <v>215</v>
      </c>
      <c r="F17" s="5" t="s">
        <v>11</v>
      </c>
      <c r="G17" s="5" t="s">
        <v>194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12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12</v>
      </c>
      <c r="P17" s="5" t="s">
        <v>12</v>
      </c>
      <c r="Q17" s="5" t="s">
        <v>12</v>
      </c>
      <c r="R17" s="5" t="s">
        <v>12</v>
      </c>
      <c r="S17" s="5" t="s">
        <v>13</v>
      </c>
      <c r="T17" t="str">
        <f t="shared" si="2"/>
        <v>axSW[]</v>
      </c>
      <c r="U17" s="6" t="s">
        <v>138</v>
      </c>
      <c r="V17" s="5" t="s">
        <v>13</v>
      </c>
      <c r="W17" s="12" t="b">
        <v>0</v>
      </c>
    </row>
    <row r="18" spans="1:23" ht="14.25" customHeight="1" x14ac:dyDescent="0.3">
      <c r="A18" s="5" t="s">
        <v>8</v>
      </c>
      <c r="B18" s="7" t="s">
        <v>199</v>
      </c>
      <c r="C18" s="5" t="s">
        <v>281</v>
      </c>
      <c r="D18" s="5"/>
      <c r="E18" s="6" t="s">
        <v>215</v>
      </c>
      <c r="F18" s="5" t="s">
        <v>11</v>
      </c>
      <c r="G18" s="5" t="s">
        <v>194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12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12</v>
      </c>
      <c r="P18" s="5" t="s">
        <v>12</v>
      </c>
      <c r="Q18" s="5" t="s">
        <v>12</v>
      </c>
      <c r="R18" s="5" t="s">
        <v>12</v>
      </c>
      <c r="S18" s="5" t="s">
        <v>13</v>
      </c>
      <c r="T18" t="str">
        <f t="shared" si="2"/>
        <v>axSW[]</v>
      </c>
      <c r="U18" s="6" t="s">
        <v>138</v>
      </c>
      <c r="V18" s="5" t="s">
        <v>13</v>
      </c>
      <c r="W18" s="12" t="b">
        <v>0</v>
      </c>
    </row>
    <row r="19" spans="1:23" ht="14.25" customHeight="1" x14ac:dyDescent="0.3">
      <c r="A19" s="5" t="s">
        <v>39</v>
      </c>
      <c r="B19" s="7" t="s">
        <v>40</v>
      </c>
      <c r="C19" s="7" t="s">
        <v>41</v>
      </c>
      <c r="D19" s="14" t="s">
        <v>290</v>
      </c>
      <c r="E19" s="6" t="s">
        <v>214</v>
      </c>
      <c r="F19" s="7" t="s">
        <v>11</v>
      </c>
      <c r="G19" s="5" t="s">
        <v>194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258</v>
      </c>
      <c r="L19" s="6" t="s">
        <v>314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12</v>
      </c>
      <c r="P19" s="5" t="s">
        <v>12</v>
      </c>
      <c r="Q19" s="5" t="s">
        <v>12</v>
      </c>
      <c r="R19" s="7" t="s">
        <v>12</v>
      </c>
      <c r="S19" s="7" t="s">
        <v>13</v>
      </c>
      <c r="T19" t="str">
        <f>_xlfn.CONCAT("axSIG[",AB1,"]")</f>
        <v>axSIG[]</v>
      </c>
      <c r="U19" s="6" t="s">
        <v>138</v>
      </c>
      <c r="V19" s="5" t="s">
        <v>12</v>
      </c>
      <c r="W19" s="12" t="b">
        <v>0</v>
      </c>
    </row>
    <row r="20" spans="1:23" ht="14.25" customHeight="1" x14ac:dyDescent="0.3">
      <c r="A20" s="5" t="s">
        <v>39</v>
      </c>
      <c r="B20" s="7" t="s">
        <v>42</v>
      </c>
      <c r="C20" s="7" t="s">
        <v>43</v>
      </c>
      <c r="D20" s="14" t="s">
        <v>290</v>
      </c>
      <c r="E20" s="6" t="s">
        <v>214</v>
      </c>
      <c r="F20" s="7" t="s">
        <v>11</v>
      </c>
      <c r="G20" s="5" t="s">
        <v>194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258</v>
      </c>
      <c r="L20" s="6" t="s">
        <v>314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12</v>
      </c>
      <c r="P20" s="5" t="s">
        <v>12</v>
      </c>
      <c r="Q20" s="5" t="s">
        <v>12</v>
      </c>
      <c r="R20" s="7" t="s">
        <v>12</v>
      </c>
      <c r="S20" s="7" t="s">
        <v>13</v>
      </c>
      <c r="T20" t="str">
        <f>_xlfn.CONCAT("axSIG[",AB2,"]")</f>
        <v>axSIG[]</v>
      </c>
      <c r="U20" s="6" t="s">
        <v>138</v>
      </c>
      <c r="V20" s="5" t="s">
        <v>12</v>
      </c>
      <c r="W20" s="12" t="b">
        <v>0</v>
      </c>
    </row>
    <row r="21" spans="1:23" ht="14.25" customHeight="1" x14ac:dyDescent="0.3">
      <c r="A21" s="5" t="s">
        <v>39</v>
      </c>
      <c r="B21" s="7" t="s">
        <v>44</v>
      </c>
      <c r="C21" s="7" t="s">
        <v>45</v>
      </c>
      <c r="D21" s="14" t="s">
        <v>290</v>
      </c>
      <c r="E21" s="6" t="s">
        <v>214</v>
      </c>
      <c r="F21" s="7" t="s">
        <v>11</v>
      </c>
      <c r="G21" s="5" t="s">
        <v>194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258</v>
      </c>
      <c r="L21" s="6" t="s">
        <v>314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12</v>
      </c>
      <c r="P21" s="5" t="s">
        <v>12</v>
      </c>
      <c r="Q21" s="5" t="s">
        <v>12</v>
      </c>
      <c r="R21" s="7" t="s">
        <v>12</v>
      </c>
      <c r="S21" s="7" t="s">
        <v>13</v>
      </c>
      <c r="T21" t="str">
        <f>_xlfn.CONCAT("axSIG[",AB3,"]")</f>
        <v>axSIG[]</v>
      </c>
      <c r="U21" s="6" t="s">
        <v>138</v>
      </c>
      <c r="V21" s="5" t="s">
        <v>12</v>
      </c>
      <c r="W21" s="12" t="b">
        <v>0</v>
      </c>
    </row>
    <row r="22" spans="1:23" ht="14.25" customHeight="1" x14ac:dyDescent="0.3">
      <c r="A22" s="5" t="s">
        <v>39</v>
      </c>
      <c r="B22" s="7" t="s">
        <v>46</v>
      </c>
      <c r="C22" s="7" t="s">
        <v>47</v>
      </c>
      <c r="D22" s="14" t="s">
        <v>290</v>
      </c>
      <c r="E22" s="6" t="s">
        <v>214</v>
      </c>
      <c r="F22" s="7" t="s">
        <v>11</v>
      </c>
      <c r="G22" s="5" t="s">
        <v>194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258</v>
      </c>
      <c r="L22" s="6" t="s">
        <v>314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12</v>
      </c>
      <c r="P22" s="5" t="s">
        <v>12</v>
      </c>
      <c r="Q22" s="5" t="s">
        <v>12</v>
      </c>
      <c r="R22" s="7" t="s">
        <v>12</v>
      </c>
      <c r="S22" s="7" t="s">
        <v>13</v>
      </c>
      <c r="T22" t="str">
        <f>_xlfn.CONCAT("axSIG[",AB4,"]")</f>
        <v>axSIG[]</v>
      </c>
      <c r="U22" s="6" t="s">
        <v>138</v>
      </c>
      <c r="V22" s="5" t="s">
        <v>12</v>
      </c>
      <c r="W22" s="12" t="b">
        <v>0</v>
      </c>
    </row>
    <row r="23" spans="1:23" ht="14.25" customHeight="1" x14ac:dyDescent="0.3">
      <c r="A23" s="5" t="s">
        <v>39</v>
      </c>
      <c r="B23" s="7" t="s">
        <v>48</v>
      </c>
      <c r="C23" s="7" t="s">
        <v>49</v>
      </c>
      <c r="D23" s="14" t="s">
        <v>292</v>
      </c>
      <c r="E23" s="6" t="s">
        <v>214</v>
      </c>
      <c r="F23" s="5" t="s">
        <v>52</v>
      </c>
      <c r="G23" s="5" t="s">
        <v>194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259</v>
      </c>
      <c r="L23" s="6" t="s">
        <v>312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12</v>
      </c>
      <c r="P23" s="5" t="s">
        <v>12</v>
      </c>
      <c r="Q23" s="5" t="s">
        <v>12</v>
      </c>
      <c r="R23" s="7" t="s">
        <v>12</v>
      </c>
      <c r="S23" s="7" t="s">
        <v>13</v>
      </c>
      <c r="T23" t="str">
        <f t="shared" ref="T23:T32" si="5">_xlfn.CONCAT("arSW[",AB1,"]")</f>
        <v>arSW[]</v>
      </c>
      <c r="U23" s="6" t="s">
        <v>138</v>
      </c>
      <c r="V23" s="5" t="s">
        <v>12</v>
      </c>
      <c r="W23" s="12" t="b">
        <v>0</v>
      </c>
    </row>
    <row r="24" spans="1:23" ht="14.25" customHeight="1" x14ac:dyDescent="0.3">
      <c r="A24" s="5" t="s">
        <v>39</v>
      </c>
      <c r="B24" s="7" t="s">
        <v>50</v>
      </c>
      <c r="C24" s="7" t="s">
        <v>51</v>
      </c>
      <c r="D24" s="14" t="s">
        <v>296</v>
      </c>
      <c r="E24" s="6" t="s">
        <v>214</v>
      </c>
      <c r="F24" s="7" t="s">
        <v>52</v>
      </c>
      <c r="G24" s="5" t="s">
        <v>194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259</v>
      </c>
      <c r="L24" s="6" t="s">
        <v>312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12</v>
      </c>
      <c r="P24" s="5" t="s">
        <v>12</v>
      </c>
      <c r="Q24" s="5" t="s">
        <v>12</v>
      </c>
      <c r="R24" s="7" t="s">
        <v>12</v>
      </c>
      <c r="S24" s="7" t="s">
        <v>13</v>
      </c>
      <c r="T24" t="str">
        <f t="shared" si="5"/>
        <v>arSW[]</v>
      </c>
      <c r="U24" s="6" t="s">
        <v>138</v>
      </c>
      <c r="V24" s="5" t="s">
        <v>12</v>
      </c>
      <c r="W24" s="12" t="b">
        <v>0</v>
      </c>
    </row>
    <row r="25" spans="1:23" ht="14.25" customHeight="1" x14ac:dyDescent="0.3">
      <c r="A25" s="5" t="s">
        <v>39</v>
      </c>
      <c r="B25" s="7" t="s">
        <v>53</v>
      </c>
      <c r="C25" s="7" t="s">
        <v>54</v>
      </c>
      <c r="D25" s="14" t="s">
        <v>294</v>
      </c>
      <c r="E25" s="6" t="s">
        <v>214</v>
      </c>
      <c r="F25" s="7" t="s">
        <v>52</v>
      </c>
      <c r="G25" s="5" t="s">
        <v>194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259</v>
      </c>
      <c r="L25" s="6" t="s">
        <v>312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12</v>
      </c>
      <c r="P25" s="5" t="s">
        <v>12</v>
      </c>
      <c r="Q25" s="5" t="s">
        <v>12</v>
      </c>
      <c r="R25" s="7" t="s">
        <v>12</v>
      </c>
      <c r="S25" s="7" t="s">
        <v>13</v>
      </c>
      <c r="T25" t="str">
        <f t="shared" si="5"/>
        <v>arSW[]</v>
      </c>
      <c r="U25" s="6" t="s">
        <v>138</v>
      </c>
      <c r="V25" s="5" t="s">
        <v>12</v>
      </c>
      <c r="W25" s="12" t="b">
        <v>0</v>
      </c>
    </row>
    <row r="26" spans="1:23" ht="14.25" customHeight="1" x14ac:dyDescent="0.3">
      <c r="A26" s="5" t="s">
        <v>39</v>
      </c>
      <c r="B26" s="7" t="s">
        <v>55</v>
      </c>
      <c r="C26" s="7" t="s">
        <v>56</v>
      </c>
      <c r="D26" s="14" t="s">
        <v>295</v>
      </c>
      <c r="E26" s="6" t="s">
        <v>214</v>
      </c>
      <c r="F26" s="7" t="s">
        <v>52</v>
      </c>
      <c r="G26" s="5" t="s">
        <v>194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259</v>
      </c>
      <c r="L26" s="6" t="s">
        <v>312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12</v>
      </c>
      <c r="P26" s="5" t="s">
        <v>12</v>
      </c>
      <c r="Q26" s="5" t="s">
        <v>12</v>
      </c>
      <c r="R26" s="7" t="s">
        <v>12</v>
      </c>
      <c r="S26" s="7" t="s">
        <v>13</v>
      </c>
      <c r="T26" t="str">
        <f t="shared" si="5"/>
        <v>arSW[]</v>
      </c>
      <c r="U26" s="6" t="s">
        <v>138</v>
      </c>
      <c r="V26" s="5" t="s">
        <v>12</v>
      </c>
      <c r="W26" s="12" t="b">
        <v>0</v>
      </c>
    </row>
    <row r="27" spans="1:23" ht="14.25" customHeight="1" x14ac:dyDescent="0.3">
      <c r="A27" s="5" t="s">
        <v>39</v>
      </c>
      <c r="B27" s="7" t="s">
        <v>57</v>
      </c>
      <c r="C27" s="7" t="s">
        <v>58</v>
      </c>
      <c r="D27" s="14" t="s">
        <v>291</v>
      </c>
      <c r="E27" s="6" t="s">
        <v>214</v>
      </c>
      <c r="F27" s="7" t="s">
        <v>52</v>
      </c>
      <c r="G27" s="5" t="s">
        <v>194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259</v>
      </c>
      <c r="L27" s="6" t="s">
        <v>312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12</v>
      </c>
      <c r="P27" s="5" t="s">
        <v>12</v>
      </c>
      <c r="Q27" s="5" t="s">
        <v>12</v>
      </c>
      <c r="R27" s="7" t="s">
        <v>12</v>
      </c>
      <c r="S27" s="7" t="s">
        <v>13</v>
      </c>
      <c r="T27" t="str">
        <f t="shared" si="5"/>
        <v>arSW[]</v>
      </c>
      <c r="U27" s="6" t="s">
        <v>138</v>
      </c>
      <c r="V27" s="5" t="s">
        <v>12</v>
      </c>
      <c r="W27" s="12" t="b">
        <v>0</v>
      </c>
    </row>
    <row r="28" spans="1:23" ht="14.25" customHeight="1" x14ac:dyDescent="0.3">
      <c r="A28" s="5" t="s">
        <v>39</v>
      </c>
      <c r="B28" s="7" t="s">
        <v>59</v>
      </c>
      <c r="C28" s="7" t="s">
        <v>60</v>
      </c>
      <c r="D28" s="14" t="s">
        <v>296</v>
      </c>
      <c r="E28" s="6" t="s">
        <v>214</v>
      </c>
      <c r="F28" s="7" t="s">
        <v>52</v>
      </c>
      <c r="G28" s="5" t="s">
        <v>194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259</v>
      </c>
      <c r="L28" s="6" t="s">
        <v>312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12</v>
      </c>
      <c r="P28" s="5" t="s">
        <v>12</v>
      </c>
      <c r="Q28" s="5" t="s">
        <v>12</v>
      </c>
      <c r="R28" s="7" t="s">
        <v>12</v>
      </c>
      <c r="S28" s="7" t="s">
        <v>13</v>
      </c>
      <c r="T28" t="str">
        <f t="shared" si="5"/>
        <v>arSW[]</v>
      </c>
      <c r="U28" s="5" t="s">
        <v>13</v>
      </c>
      <c r="V28" s="5" t="s">
        <v>12</v>
      </c>
      <c r="W28" s="12" t="b">
        <v>0</v>
      </c>
    </row>
    <row r="29" spans="1:23" ht="14.25" customHeight="1" x14ac:dyDescent="0.3">
      <c r="A29" s="5" t="s">
        <v>39</v>
      </c>
      <c r="B29" s="7" t="s">
        <v>61</v>
      </c>
      <c r="C29" s="7" t="s">
        <v>62</v>
      </c>
      <c r="D29" s="14" t="s">
        <v>296</v>
      </c>
      <c r="E29" s="6" t="s">
        <v>214</v>
      </c>
      <c r="F29" s="7" t="s">
        <v>52</v>
      </c>
      <c r="G29" s="5" t="s">
        <v>194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259</v>
      </c>
      <c r="L29" s="6" t="s">
        <v>312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12</v>
      </c>
      <c r="P29" s="5" t="s">
        <v>12</v>
      </c>
      <c r="Q29" s="5" t="s">
        <v>12</v>
      </c>
      <c r="R29" s="7" t="s">
        <v>12</v>
      </c>
      <c r="S29" s="7" t="s">
        <v>13</v>
      </c>
      <c r="T29" t="str">
        <f t="shared" si="5"/>
        <v>arSW[]</v>
      </c>
      <c r="U29" s="5" t="s">
        <v>13</v>
      </c>
      <c r="V29" s="5" t="s">
        <v>12</v>
      </c>
      <c r="W29" s="12" t="b">
        <v>0</v>
      </c>
    </row>
    <row r="30" spans="1:23" ht="14.25" customHeight="1" x14ac:dyDescent="0.3">
      <c r="A30" s="5" t="s">
        <v>39</v>
      </c>
      <c r="B30" s="7" t="s">
        <v>63</v>
      </c>
      <c r="C30" s="7" t="s">
        <v>64</v>
      </c>
      <c r="D30" s="14" t="s">
        <v>296</v>
      </c>
      <c r="E30" s="6" t="s">
        <v>214</v>
      </c>
      <c r="F30" s="7" t="s">
        <v>52</v>
      </c>
      <c r="G30" s="5" t="s">
        <v>194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259</v>
      </c>
      <c r="L30" s="6" t="s">
        <v>312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12</v>
      </c>
      <c r="P30" s="5" t="s">
        <v>12</v>
      </c>
      <c r="Q30" s="5" t="s">
        <v>12</v>
      </c>
      <c r="R30" s="7" t="s">
        <v>12</v>
      </c>
      <c r="S30" s="7" t="s">
        <v>13</v>
      </c>
      <c r="T30" t="str">
        <f t="shared" si="5"/>
        <v>arSW[]</v>
      </c>
      <c r="U30" s="5" t="s">
        <v>13</v>
      </c>
      <c r="V30" s="5" t="s">
        <v>12</v>
      </c>
      <c r="W30" s="12" t="b">
        <v>0</v>
      </c>
    </row>
    <row r="31" spans="1:23" ht="14.25" customHeight="1" x14ac:dyDescent="0.3">
      <c r="A31" s="5" t="s">
        <v>39</v>
      </c>
      <c r="B31" s="7" t="s">
        <v>65</v>
      </c>
      <c r="C31" s="9" t="s">
        <v>281</v>
      </c>
      <c r="D31" s="9"/>
      <c r="E31" s="6" t="s">
        <v>215</v>
      </c>
      <c r="F31" s="7" t="s">
        <v>52</v>
      </c>
      <c r="G31" s="5" t="s">
        <v>194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259</v>
      </c>
      <c r="L31" s="6" t="s">
        <v>312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12</v>
      </c>
      <c r="P31" s="5" t="s">
        <v>12</v>
      </c>
      <c r="Q31" s="5" t="s">
        <v>12</v>
      </c>
      <c r="R31" s="7" t="s">
        <v>12</v>
      </c>
      <c r="S31" s="7" t="s">
        <v>13</v>
      </c>
      <c r="T31" t="str">
        <f t="shared" si="5"/>
        <v>arSW[]</v>
      </c>
      <c r="U31" s="5" t="s">
        <v>138</v>
      </c>
      <c r="V31" s="5" t="s">
        <v>12</v>
      </c>
      <c r="W31" s="12" t="b">
        <v>0</v>
      </c>
    </row>
    <row r="32" spans="1:23" ht="14.25" customHeight="1" x14ac:dyDescent="0.3">
      <c r="A32" s="5" t="s">
        <v>39</v>
      </c>
      <c r="B32" s="7" t="s">
        <v>66</v>
      </c>
      <c r="C32" t="s">
        <v>263</v>
      </c>
      <c r="D32" t="s">
        <v>291</v>
      </c>
      <c r="E32" s="6" t="s">
        <v>214</v>
      </c>
      <c r="F32" s="5" t="s">
        <v>52</v>
      </c>
      <c r="G32" s="5" t="s">
        <v>194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259</v>
      </c>
      <c r="L32" s="6" t="s">
        <v>312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12</v>
      </c>
      <c r="P32" s="5" t="s">
        <v>12</v>
      </c>
      <c r="Q32" s="5" t="s">
        <v>12</v>
      </c>
      <c r="R32" s="7" t="s">
        <v>12</v>
      </c>
      <c r="S32" s="7" t="s">
        <v>13</v>
      </c>
      <c r="T32" t="str">
        <f t="shared" si="5"/>
        <v>arSW[]</v>
      </c>
      <c r="U32" s="5" t="s">
        <v>138</v>
      </c>
      <c r="V32" s="5" t="s">
        <v>12</v>
      </c>
      <c r="W32" s="12" t="b">
        <v>0</v>
      </c>
    </row>
    <row r="33" spans="1:23" ht="14.25" customHeight="1" x14ac:dyDescent="0.3">
      <c r="A33" s="5" t="s">
        <v>39</v>
      </c>
      <c r="B33" s="7" t="s">
        <v>67</v>
      </c>
      <c r="C33" s="7" t="s">
        <v>68</v>
      </c>
      <c r="D33" s="14" t="s">
        <v>298</v>
      </c>
      <c r="E33" s="6" t="s">
        <v>234</v>
      </c>
      <c r="F33" s="7" t="s">
        <v>11</v>
      </c>
      <c r="G33" s="5" t="s">
        <v>194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12</v>
      </c>
      <c r="L33" s="6" t="s">
        <v>312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12</v>
      </c>
      <c r="P33" s="5" t="s">
        <v>12</v>
      </c>
      <c r="Q33" s="5" t="s">
        <v>12</v>
      </c>
      <c r="R33" s="7" t="s">
        <v>12</v>
      </c>
      <c r="S33" s="7" t="s">
        <v>13</v>
      </c>
      <c r="T33" t="str">
        <f t="shared" ref="T33:T42" si="8">_xlfn.CONCAT("axSIG[",AB5,"]")</f>
        <v>axSIG[]</v>
      </c>
      <c r="U33" s="5" t="s">
        <v>13</v>
      </c>
      <c r="V33" s="5" t="s">
        <v>12</v>
      </c>
      <c r="W33" s="12" t="b">
        <v>0</v>
      </c>
    </row>
    <row r="34" spans="1:23" ht="14.25" customHeight="1" x14ac:dyDescent="0.3">
      <c r="A34" s="5" t="s">
        <v>39</v>
      </c>
      <c r="B34" s="7" t="s">
        <v>69</v>
      </c>
      <c r="C34" s="7" t="s">
        <v>70</v>
      </c>
      <c r="D34" s="14" t="s">
        <v>298</v>
      </c>
      <c r="E34" s="6" t="s">
        <v>234</v>
      </c>
      <c r="F34" s="7" t="s">
        <v>11</v>
      </c>
      <c r="G34" s="5" t="s">
        <v>194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12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12</v>
      </c>
      <c r="P34" s="5" t="s">
        <v>12</v>
      </c>
      <c r="Q34" s="5" t="s">
        <v>12</v>
      </c>
      <c r="R34" s="7" t="s">
        <v>12</v>
      </c>
      <c r="S34" s="7" t="s">
        <v>13</v>
      </c>
      <c r="T34" t="str">
        <f t="shared" si="8"/>
        <v>axSIG[]</v>
      </c>
      <c r="U34" s="5" t="s">
        <v>13</v>
      </c>
      <c r="V34" s="5" t="s">
        <v>12</v>
      </c>
      <c r="W34" s="12" t="b">
        <v>0</v>
      </c>
    </row>
    <row r="35" spans="1:23" ht="14.25" customHeight="1" x14ac:dyDescent="0.3">
      <c r="A35" s="5" t="s">
        <v>39</v>
      </c>
      <c r="B35" s="7" t="s">
        <v>71</v>
      </c>
      <c r="C35" s="7" t="s">
        <v>72</v>
      </c>
      <c r="D35" s="14" t="s">
        <v>297</v>
      </c>
      <c r="E35" s="6" t="s">
        <v>234</v>
      </c>
      <c r="F35" s="7" t="s">
        <v>11</v>
      </c>
      <c r="G35" s="5" t="s">
        <v>194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12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12</v>
      </c>
      <c r="P35" s="5" t="s">
        <v>12</v>
      </c>
      <c r="Q35" s="5" t="s">
        <v>12</v>
      </c>
      <c r="R35" s="7" t="s">
        <v>12</v>
      </c>
      <c r="S35" s="7" t="s">
        <v>13</v>
      </c>
      <c r="T35" t="str">
        <f t="shared" si="8"/>
        <v>axSIG[]</v>
      </c>
      <c r="U35" s="5" t="s">
        <v>13</v>
      </c>
      <c r="V35" s="5" t="s">
        <v>12</v>
      </c>
      <c r="W35" s="12" t="b">
        <v>0</v>
      </c>
    </row>
    <row r="36" spans="1:23" ht="14.25" customHeight="1" x14ac:dyDescent="0.3">
      <c r="A36" s="5" t="s">
        <v>39</v>
      </c>
      <c r="B36" s="7" t="s">
        <v>73</v>
      </c>
      <c r="C36" s="7" t="s">
        <v>74</v>
      </c>
      <c r="D36" s="14" t="s">
        <v>294</v>
      </c>
      <c r="E36" s="6" t="s">
        <v>234</v>
      </c>
      <c r="F36" s="7" t="s">
        <v>11</v>
      </c>
      <c r="G36" s="5" t="s">
        <v>194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12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12</v>
      </c>
      <c r="P36" s="5" t="s">
        <v>12</v>
      </c>
      <c r="Q36" s="5" t="s">
        <v>12</v>
      </c>
      <c r="R36" s="7" t="s">
        <v>12</v>
      </c>
      <c r="S36" s="7" t="s">
        <v>13</v>
      </c>
      <c r="T36" t="str">
        <f t="shared" si="8"/>
        <v>axSIG[]</v>
      </c>
      <c r="U36" s="5" t="s">
        <v>13</v>
      </c>
      <c r="V36" s="5" t="s">
        <v>12</v>
      </c>
      <c r="W36" s="12" t="b">
        <v>0</v>
      </c>
    </row>
    <row r="37" spans="1:23" ht="14.25" customHeight="1" x14ac:dyDescent="0.3">
      <c r="A37" s="5" t="s">
        <v>39</v>
      </c>
      <c r="B37" s="7" t="s">
        <v>75</v>
      </c>
      <c r="C37" s="7" t="s">
        <v>76</v>
      </c>
      <c r="D37" s="14" t="s">
        <v>294</v>
      </c>
      <c r="E37" s="6" t="s">
        <v>234</v>
      </c>
      <c r="F37" s="7" t="s">
        <v>11</v>
      </c>
      <c r="G37" s="5" t="s">
        <v>194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12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12</v>
      </c>
      <c r="P37" s="5" t="s">
        <v>12</v>
      </c>
      <c r="Q37" s="5" t="s">
        <v>12</v>
      </c>
      <c r="R37" s="7" t="s">
        <v>12</v>
      </c>
      <c r="S37" s="7" t="s">
        <v>13</v>
      </c>
      <c r="T37" t="str">
        <f t="shared" si="8"/>
        <v>axSIG[]</v>
      </c>
      <c r="U37" s="5" t="s">
        <v>13</v>
      </c>
      <c r="V37" s="5" t="s">
        <v>12</v>
      </c>
      <c r="W37" s="12" t="b">
        <v>0</v>
      </c>
    </row>
    <row r="38" spans="1:23" ht="14.25" customHeight="1" x14ac:dyDescent="0.3">
      <c r="A38" s="5" t="s">
        <v>39</v>
      </c>
      <c r="B38" s="7" t="s">
        <v>77</v>
      </c>
      <c r="C38" s="7" t="s">
        <v>78</v>
      </c>
      <c r="D38" s="14" t="s">
        <v>298</v>
      </c>
      <c r="E38" s="6" t="s">
        <v>234</v>
      </c>
      <c r="F38" s="7" t="s">
        <v>11</v>
      </c>
      <c r="G38" s="5" t="s">
        <v>194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258</v>
      </c>
      <c r="L38" s="6" t="s">
        <v>314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12</v>
      </c>
      <c r="P38" s="5" t="s">
        <v>12</v>
      </c>
      <c r="Q38" s="5" t="s">
        <v>12</v>
      </c>
      <c r="R38" s="7" t="s">
        <v>12</v>
      </c>
      <c r="S38" s="7" t="s">
        <v>13</v>
      </c>
      <c r="T38" t="str">
        <f t="shared" si="8"/>
        <v>axSIG[]</v>
      </c>
      <c r="U38" s="5" t="s">
        <v>138</v>
      </c>
      <c r="V38" s="5" t="s">
        <v>12</v>
      </c>
      <c r="W38" s="12" t="b">
        <v>0</v>
      </c>
    </row>
    <row r="39" spans="1:23" ht="14.25" customHeight="1" x14ac:dyDescent="0.3">
      <c r="A39" s="5" t="s">
        <v>39</v>
      </c>
      <c r="B39" s="7" t="s">
        <v>79</v>
      </c>
      <c r="C39" s="7" t="s">
        <v>80</v>
      </c>
      <c r="D39" s="14" t="s">
        <v>298</v>
      </c>
      <c r="E39" s="6" t="s">
        <v>234</v>
      </c>
      <c r="F39" s="7" t="s">
        <v>11</v>
      </c>
      <c r="G39" s="5" t="s">
        <v>194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258</v>
      </c>
      <c r="L39" s="6" t="s">
        <v>314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12</v>
      </c>
      <c r="P39" s="5" t="s">
        <v>12</v>
      </c>
      <c r="Q39" s="5" t="s">
        <v>12</v>
      </c>
      <c r="R39" s="7" t="s">
        <v>12</v>
      </c>
      <c r="S39" s="7" t="s">
        <v>13</v>
      </c>
      <c r="T39" t="str">
        <f t="shared" si="8"/>
        <v>axSIG[]</v>
      </c>
      <c r="U39" s="5" t="s">
        <v>138</v>
      </c>
      <c r="V39" s="5" t="s">
        <v>12</v>
      </c>
      <c r="W39" s="12" t="b">
        <v>0</v>
      </c>
    </row>
    <row r="40" spans="1:23" ht="14.25" customHeight="1" x14ac:dyDescent="0.3">
      <c r="A40" s="5" t="s">
        <v>39</v>
      </c>
      <c r="B40" s="7" t="s">
        <v>81</v>
      </c>
      <c r="C40" s="7" t="s">
        <v>82</v>
      </c>
      <c r="D40" s="14" t="s">
        <v>297</v>
      </c>
      <c r="E40" s="6" t="s">
        <v>234</v>
      </c>
      <c r="F40" s="7" t="s">
        <v>11</v>
      </c>
      <c r="G40" s="5" t="s">
        <v>194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258</v>
      </c>
      <c r="L40" s="6" t="s">
        <v>314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12</v>
      </c>
      <c r="P40" s="5" t="s">
        <v>12</v>
      </c>
      <c r="Q40" s="5" t="s">
        <v>12</v>
      </c>
      <c r="R40" s="7" t="s">
        <v>12</v>
      </c>
      <c r="S40" s="7" t="s">
        <v>13</v>
      </c>
      <c r="T40" t="str">
        <f t="shared" si="8"/>
        <v>axSIG[]</v>
      </c>
      <c r="U40" s="5" t="s">
        <v>138</v>
      </c>
      <c r="V40" s="5" t="s">
        <v>12</v>
      </c>
      <c r="W40" s="12" t="b">
        <v>0</v>
      </c>
    </row>
    <row r="41" spans="1:23" ht="14.25" customHeight="1" x14ac:dyDescent="0.3">
      <c r="A41" s="5" t="s">
        <v>39</v>
      </c>
      <c r="B41" s="7" t="s">
        <v>83</v>
      </c>
      <c r="C41" s="7" t="s">
        <v>84</v>
      </c>
      <c r="D41" s="14" t="s">
        <v>294</v>
      </c>
      <c r="E41" s="6" t="s">
        <v>234</v>
      </c>
      <c r="F41" s="7" t="s">
        <v>11</v>
      </c>
      <c r="G41" s="5" t="s">
        <v>194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258</v>
      </c>
      <c r="L41" s="6" t="s">
        <v>314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12</v>
      </c>
      <c r="P41" s="5" t="s">
        <v>12</v>
      </c>
      <c r="Q41" s="5" t="s">
        <v>12</v>
      </c>
      <c r="R41" s="7" t="s">
        <v>12</v>
      </c>
      <c r="S41" s="7" t="s">
        <v>13</v>
      </c>
      <c r="T41" t="str">
        <f t="shared" si="8"/>
        <v>axSIG[]</v>
      </c>
      <c r="U41" s="5" t="s">
        <v>138</v>
      </c>
      <c r="V41" s="5" t="s">
        <v>12</v>
      </c>
      <c r="W41" s="12" t="b">
        <v>0</v>
      </c>
    </row>
    <row r="42" spans="1:23" ht="14.25" customHeight="1" x14ac:dyDescent="0.3">
      <c r="A42" s="5" t="s">
        <v>39</v>
      </c>
      <c r="B42" s="7" t="s">
        <v>85</v>
      </c>
      <c r="C42" s="7" t="s">
        <v>86</v>
      </c>
      <c r="D42" s="14" t="s">
        <v>294</v>
      </c>
      <c r="E42" s="6" t="s">
        <v>234</v>
      </c>
      <c r="F42" s="7" t="s">
        <v>11</v>
      </c>
      <c r="G42" s="5" t="s">
        <v>194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258</v>
      </c>
      <c r="L42" s="6" t="s">
        <v>314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12</v>
      </c>
      <c r="P42" s="5" t="s">
        <v>12</v>
      </c>
      <c r="Q42" s="5" t="s">
        <v>12</v>
      </c>
      <c r="R42" s="7" t="s">
        <v>12</v>
      </c>
      <c r="S42" s="7" t="s">
        <v>13</v>
      </c>
      <c r="T42" t="str">
        <f t="shared" si="8"/>
        <v>axSIG[]</v>
      </c>
      <c r="U42" s="5" t="s">
        <v>138</v>
      </c>
      <c r="V42" s="5" t="s">
        <v>12</v>
      </c>
      <c r="W42" s="12" t="b">
        <v>0</v>
      </c>
    </row>
    <row r="43" spans="1:23" ht="14.25" customHeight="1" x14ac:dyDescent="0.3">
      <c r="A43" s="5" t="s">
        <v>39</v>
      </c>
      <c r="B43" s="7" t="s">
        <v>87</v>
      </c>
      <c r="C43" s="5" t="s">
        <v>197</v>
      </c>
      <c r="D43" s="14" t="s">
        <v>292</v>
      </c>
      <c r="E43" s="6" t="s">
        <v>234</v>
      </c>
      <c r="F43" s="5" t="s">
        <v>185</v>
      </c>
      <c r="G43" s="5" t="s">
        <v>194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12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12</v>
      </c>
      <c r="P43" s="5" t="s">
        <v>12</v>
      </c>
      <c r="Q43" s="5" t="s">
        <v>12</v>
      </c>
      <c r="R43" s="7" t="s">
        <v>12</v>
      </c>
      <c r="S43" s="7" t="s">
        <v>13</v>
      </c>
      <c r="T43" t="str">
        <f>_xlfn.CONCAT("adiSW[",AB1,"]")</f>
        <v>adiSW[]</v>
      </c>
      <c r="U43" s="5" t="s">
        <v>13</v>
      </c>
      <c r="V43" s="5" t="s">
        <v>12</v>
      </c>
      <c r="W43" s="12" t="b">
        <v>0</v>
      </c>
    </row>
    <row r="44" spans="1:23" ht="14.25" customHeight="1" x14ac:dyDescent="0.3">
      <c r="A44" s="5" t="s">
        <v>39</v>
      </c>
      <c r="B44" t="s">
        <v>173</v>
      </c>
      <c r="C44" s="5" t="s">
        <v>201</v>
      </c>
      <c r="D44" s="14" t="s">
        <v>290</v>
      </c>
      <c r="E44" s="6" t="s">
        <v>234</v>
      </c>
      <c r="F44" t="s">
        <v>11</v>
      </c>
      <c r="G44" s="5" t="s">
        <v>194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12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12</v>
      </c>
      <c r="P44" s="5" t="s">
        <v>12</v>
      </c>
      <c r="Q44" s="5" t="s">
        <v>12</v>
      </c>
      <c r="R44" s="7" t="s">
        <v>12</v>
      </c>
      <c r="S44" s="7" t="s">
        <v>13</v>
      </c>
      <c r="T44" t="str">
        <f>_xlfn.CONCAT("axSIG[",AB15,"]")</f>
        <v>axSIG[]</v>
      </c>
      <c r="U44" t="s">
        <v>13</v>
      </c>
      <c r="V44" s="5" t="s">
        <v>12</v>
      </c>
      <c r="W44" s="12" t="b">
        <v>0</v>
      </c>
    </row>
    <row r="45" spans="1:23" ht="14.25" customHeight="1" x14ac:dyDescent="0.3">
      <c r="A45" s="5" t="s">
        <v>39</v>
      </c>
      <c r="B45" t="s">
        <v>175</v>
      </c>
      <c r="C45" t="s">
        <v>261</v>
      </c>
      <c r="D45" t="s">
        <v>292</v>
      </c>
      <c r="E45" s="6" t="s">
        <v>214</v>
      </c>
      <c r="F45" s="5" t="s">
        <v>52</v>
      </c>
      <c r="G45" s="5" t="s">
        <v>194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259</v>
      </c>
      <c r="L45" s="6" t="s">
        <v>312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12</v>
      </c>
      <c r="P45" s="5" t="s">
        <v>12</v>
      </c>
      <c r="Q45" s="5" t="s">
        <v>12</v>
      </c>
      <c r="R45" s="7" t="s">
        <v>12</v>
      </c>
      <c r="S45" s="7" t="s">
        <v>13</v>
      </c>
      <c r="T45" t="str">
        <f>_xlfn.CONCAT("arSW[",AB23,"]")</f>
        <v>arSW[]</v>
      </c>
      <c r="U45" t="s">
        <v>138</v>
      </c>
      <c r="V45" s="5" t="s">
        <v>12</v>
      </c>
      <c r="W45" s="12" t="b">
        <v>0</v>
      </c>
    </row>
    <row r="46" spans="1:23" ht="14.25" customHeight="1" x14ac:dyDescent="0.3">
      <c r="A46" s="5" t="s">
        <v>39</v>
      </c>
      <c r="B46" t="s">
        <v>176</v>
      </c>
      <c r="C46" t="s">
        <v>262</v>
      </c>
      <c r="D46" t="s">
        <v>292</v>
      </c>
      <c r="E46" s="6" t="s">
        <v>214</v>
      </c>
      <c r="F46" s="5" t="s">
        <v>52</v>
      </c>
      <c r="G46" s="5" t="s">
        <v>194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259</v>
      </c>
      <c r="L46" s="6" t="s">
        <v>312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12</v>
      </c>
      <c r="P46" s="5" t="s">
        <v>12</v>
      </c>
      <c r="Q46" s="5" t="s">
        <v>12</v>
      </c>
      <c r="R46" s="7" t="s">
        <v>12</v>
      </c>
      <c r="S46" s="7" t="s">
        <v>13</v>
      </c>
      <c r="T46" t="str">
        <f>_xlfn.CONCAT("arSW[",AB24,"]")</f>
        <v>arSW[]</v>
      </c>
      <c r="U46" t="s">
        <v>138</v>
      </c>
      <c r="V46" s="5" t="s">
        <v>12</v>
      </c>
      <c r="W46" s="12" t="b">
        <v>0</v>
      </c>
    </row>
    <row r="47" spans="1:23" ht="14.25" customHeight="1" x14ac:dyDescent="0.3">
      <c r="A47" s="5" t="s">
        <v>39</v>
      </c>
      <c r="B47" t="s">
        <v>177</v>
      </c>
      <c r="C47" t="s">
        <v>281</v>
      </c>
      <c r="E47" s="6" t="s">
        <v>215</v>
      </c>
      <c r="F47" s="5" t="s">
        <v>52</v>
      </c>
      <c r="G47" s="5" t="s">
        <v>194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259</v>
      </c>
      <c r="L47" s="6" t="s">
        <v>312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12</v>
      </c>
      <c r="P47" s="5" t="s">
        <v>12</v>
      </c>
      <c r="Q47" s="5" t="s">
        <v>12</v>
      </c>
      <c r="R47" s="7" t="s">
        <v>12</v>
      </c>
      <c r="S47" s="7" t="s">
        <v>13</v>
      </c>
      <c r="T47" t="str">
        <f>_xlfn.CONCAT("arSW[",AB25,"]")</f>
        <v>arSW[]</v>
      </c>
      <c r="U47" t="s">
        <v>138</v>
      </c>
      <c r="V47" s="5" t="s">
        <v>12</v>
      </c>
      <c r="W47" s="12" t="b">
        <v>0</v>
      </c>
    </row>
    <row r="48" spans="1:23" ht="14.25" customHeight="1" x14ac:dyDescent="0.3">
      <c r="A48" s="5" t="s">
        <v>39</v>
      </c>
      <c r="B48" t="s">
        <v>178</v>
      </c>
      <c r="C48" t="s">
        <v>281</v>
      </c>
      <c r="E48" s="6" t="s">
        <v>215</v>
      </c>
      <c r="F48" s="5" t="s">
        <v>52</v>
      </c>
      <c r="G48" s="5" t="s">
        <v>194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12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12</v>
      </c>
      <c r="P48" s="5" t="s">
        <v>12</v>
      </c>
      <c r="Q48" s="5" t="s">
        <v>12</v>
      </c>
      <c r="R48" s="7" t="s">
        <v>12</v>
      </c>
      <c r="S48" s="7" t="s">
        <v>13</v>
      </c>
      <c r="T48" t="str">
        <f>_xlfn.CONCAT("arSW[",AB26,"]")</f>
        <v>arSW[]</v>
      </c>
      <c r="U48" t="s">
        <v>138</v>
      </c>
      <c r="V48" s="5" t="s">
        <v>12</v>
      </c>
      <c r="W48" s="12" t="b">
        <v>0</v>
      </c>
    </row>
    <row r="49" spans="1:23" ht="14.25" customHeight="1" x14ac:dyDescent="0.3">
      <c r="A49" s="5" t="s">
        <v>39</v>
      </c>
      <c r="B49" s="5" t="s">
        <v>179</v>
      </c>
      <c r="C49" s="5" t="s">
        <v>195</v>
      </c>
      <c r="D49" s="14" t="s">
        <v>292</v>
      </c>
      <c r="E49" s="6" t="s">
        <v>214</v>
      </c>
      <c r="F49" s="5" t="s">
        <v>185</v>
      </c>
      <c r="G49" s="5" t="s">
        <v>194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259</v>
      </c>
      <c r="L49" s="6" t="s">
        <v>312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12</v>
      </c>
      <c r="P49" s="5" t="s">
        <v>12</v>
      </c>
      <c r="Q49" s="5" t="s">
        <v>12</v>
      </c>
      <c r="R49" s="7" t="s">
        <v>12</v>
      </c>
      <c r="S49" s="7" t="s">
        <v>13</v>
      </c>
      <c r="T49" t="str">
        <f>_xlfn.CONCAT("adiSW[",AB2,"]")</f>
        <v>adiSW[]</v>
      </c>
      <c r="U49" t="s">
        <v>138</v>
      </c>
      <c r="V49" s="5" t="s">
        <v>12</v>
      </c>
      <c r="W49" s="12" t="b">
        <v>0</v>
      </c>
    </row>
    <row r="50" spans="1:23" ht="14.25" customHeight="1" x14ac:dyDescent="0.3">
      <c r="A50" s="5" t="s">
        <v>39</v>
      </c>
      <c r="B50" s="5" t="s">
        <v>180</v>
      </c>
      <c r="C50" s="5" t="s">
        <v>196</v>
      </c>
      <c r="D50" s="14" t="s">
        <v>292</v>
      </c>
      <c r="E50" s="6" t="s">
        <v>214</v>
      </c>
      <c r="F50" s="5" t="s">
        <v>185</v>
      </c>
      <c r="G50" s="5" t="s">
        <v>194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259</v>
      </c>
      <c r="L50" s="6" t="s">
        <v>312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12</v>
      </c>
      <c r="P50" s="5" t="s">
        <v>12</v>
      </c>
      <c r="Q50" s="5" t="s">
        <v>12</v>
      </c>
      <c r="R50" s="7" t="s">
        <v>12</v>
      </c>
      <c r="S50" s="7" t="s">
        <v>13</v>
      </c>
      <c r="T50" t="str">
        <f>_xlfn.CONCAT("adiSW[",AB3,"]")</f>
        <v>adiSW[]</v>
      </c>
      <c r="U50" t="s">
        <v>138</v>
      </c>
      <c r="V50" s="5" t="s">
        <v>12</v>
      </c>
      <c r="W50" s="12" t="b">
        <v>0</v>
      </c>
    </row>
    <row r="51" spans="1:23" ht="14.25" customHeight="1" x14ac:dyDescent="0.3">
      <c r="A51" s="5" t="s">
        <v>88</v>
      </c>
      <c r="B51" s="5" t="s">
        <v>89</v>
      </c>
      <c r="C51" s="7" t="s">
        <v>90</v>
      </c>
      <c r="D51" s="14" t="s">
        <v>296</v>
      </c>
      <c r="E51" s="6" t="s">
        <v>214</v>
      </c>
      <c r="F51" s="7" t="s">
        <v>11</v>
      </c>
      <c r="G51" s="5" t="s">
        <v>194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258</v>
      </c>
      <c r="L51" s="6" t="s">
        <v>314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12</v>
      </c>
      <c r="P51" s="5" t="s">
        <v>12</v>
      </c>
      <c r="Q51" s="5" t="s">
        <v>12</v>
      </c>
      <c r="R51" s="7" t="s">
        <v>12</v>
      </c>
      <c r="S51" s="7" t="s">
        <v>13</v>
      </c>
      <c r="T51" t="str">
        <f t="shared" ref="T51:T67" si="13">_xlfn.CONCAT("axALM[",AB1,"]")</f>
        <v>axALM[]</v>
      </c>
      <c r="U51" t="s">
        <v>138</v>
      </c>
      <c r="V51" s="5" t="s">
        <v>12</v>
      </c>
      <c r="W51" s="12" t="b">
        <v>0</v>
      </c>
    </row>
    <row r="52" spans="1:23" ht="14.25" customHeight="1" x14ac:dyDescent="0.3">
      <c r="A52" s="5" t="s">
        <v>88</v>
      </c>
      <c r="B52" s="7" t="s">
        <v>91</v>
      </c>
      <c r="C52" s="7" t="s">
        <v>92</v>
      </c>
      <c r="D52" s="14" t="s">
        <v>298</v>
      </c>
      <c r="E52" s="6" t="s">
        <v>214</v>
      </c>
      <c r="F52" s="7" t="s">
        <v>11</v>
      </c>
      <c r="G52" s="5" t="s">
        <v>194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258</v>
      </c>
      <c r="L52" s="6" t="s">
        <v>314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12</v>
      </c>
      <c r="P52" s="5" t="s">
        <v>12</v>
      </c>
      <c r="Q52" s="5" t="s">
        <v>12</v>
      </c>
      <c r="R52" s="7" t="s">
        <v>12</v>
      </c>
      <c r="S52" s="7" t="s">
        <v>13</v>
      </c>
      <c r="T52" t="str">
        <f t="shared" si="13"/>
        <v>axALM[]</v>
      </c>
      <c r="U52" t="s">
        <v>138</v>
      </c>
      <c r="V52" s="5" t="s">
        <v>12</v>
      </c>
      <c r="W52" s="12" t="b">
        <v>0</v>
      </c>
    </row>
    <row r="53" spans="1:23" ht="14.25" customHeight="1" x14ac:dyDescent="0.3">
      <c r="A53" s="5" t="s">
        <v>88</v>
      </c>
      <c r="B53" s="7" t="s">
        <v>93</v>
      </c>
      <c r="C53" s="7" t="s">
        <v>94</v>
      </c>
      <c r="D53" s="14" t="s">
        <v>294</v>
      </c>
      <c r="E53" s="6" t="s">
        <v>214</v>
      </c>
      <c r="F53" s="7" t="s">
        <v>11</v>
      </c>
      <c r="G53" s="5" t="s">
        <v>194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258</v>
      </c>
      <c r="L53" s="6" t="s">
        <v>314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12</v>
      </c>
      <c r="P53" s="5" t="s">
        <v>12</v>
      </c>
      <c r="Q53" s="5" t="s">
        <v>12</v>
      </c>
      <c r="R53" s="7" t="s">
        <v>12</v>
      </c>
      <c r="S53" s="7" t="s">
        <v>13</v>
      </c>
      <c r="T53" t="str">
        <f t="shared" si="13"/>
        <v>axALM[]</v>
      </c>
      <c r="U53" t="s">
        <v>138</v>
      </c>
      <c r="V53" s="5" t="s">
        <v>12</v>
      </c>
      <c r="W53" s="12" t="b">
        <v>0</v>
      </c>
    </row>
    <row r="54" spans="1:23" ht="14.25" customHeight="1" x14ac:dyDescent="0.3">
      <c r="A54" s="5" t="s">
        <v>88</v>
      </c>
      <c r="B54" s="7" t="s">
        <v>95</v>
      </c>
      <c r="C54" s="7" t="s">
        <v>96</v>
      </c>
      <c r="D54" s="14" t="s">
        <v>292</v>
      </c>
      <c r="E54" s="6" t="s">
        <v>214</v>
      </c>
      <c r="F54" s="7" t="s">
        <v>11</v>
      </c>
      <c r="G54" s="5" t="s">
        <v>194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258</v>
      </c>
      <c r="L54" s="6" t="s">
        <v>314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12</v>
      </c>
      <c r="P54" s="5" t="s">
        <v>12</v>
      </c>
      <c r="Q54" s="5" t="s">
        <v>12</v>
      </c>
      <c r="R54" s="7" t="s">
        <v>12</v>
      </c>
      <c r="S54" s="7" t="s">
        <v>13</v>
      </c>
      <c r="T54" t="str">
        <f t="shared" si="13"/>
        <v>axALM[]</v>
      </c>
      <c r="U54" t="s">
        <v>138</v>
      </c>
      <c r="V54" s="5" t="s">
        <v>12</v>
      </c>
      <c r="W54" s="12" t="b">
        <v>0</v>
      </c>
    </row>
    <row r="55" spans="1:23" ht="14.25" customHeight="1" x14ac:dyDescent="0.3">
      <c r="A55" s="5" t="s">
        <v>88</v>
      </c>
      <c r="B55" s="7" t="s">
        <v>97</v>
      </c>
      <c r="C55" s="7" t="s">
        <v>98</v>
      </c>
      <c r="D55" s="14" t="s">
        <v>295</v>
      </c>
      <c r="E55" s="6" t="s">
        <v>214</v>
      </c>
      <c r="F55" s="7" t="s">
        <v>11</v>
      </c>
      <c r="G55" s="5" t="s">
        <v>194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258</v>
      </c>
      <c r="L55" s="6" t="s">
        <v>314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12</v>
      </c>
      <c r="P55" s="5" t="s">
        <v>12</v>
      </c>
      <c r="Q55" s="5" t="s">
        <v>12</v>
      </c>
      <c r="R55" s="7" t="s">
        <v>12</v>
      </c>
      <c r="S55" s="7" t="s">
        <v>13</v>
      </c>
      <c r="T55" t="str">
        <f t="shared" si="13"/>
        <v>axALM[]</v>
      </c>
      <c r="U55" t="s">
        <v>138</v>
      </c>
      <c r="V55" s="5" t="s">
        <v>12</v>
      </c>
      <c r="W55" s="12" t="b">
        <v>0</v>
      </c>
    </row>
    <row r="56" spans="1:23" ht="14.25" customHeight="1" x14ac:dyDescent="0.3">
      <c r="A56" s="5" t="s">
        <v>88</v>
      </c>
      <c r="B56" s="7" t="s">
        <v>99</v>
      </c>
      <c r="C56" s="7" t="s">
        <v>100</v>
      </c>
      <c r="D56" s="14" t="s">
        <v>297</v>
      </c>
      <c r="E56" s="6" t="s">
        <v>214</v>
      </c>
      <c r="F56" s="7" t="s">
        <v>11</v>
      </c>
      <c r="G56" s="5" t="s">
        <v>194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258</v>
      </c>
      <c r="L56" s="6" t="s">
        <v>314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12</v>
      </c>
      <c r="P56" s="5" t="s">
        <v>12</v>
      </c>
      <c r="Q56" s="5" t="s">
        <v>12</v>
      </c>
      <c r="R56" s="7" t="s">
        <v>12</v>
      </c>
      <c r="S56" s="7" t="s">
        <v>13</v>
      </c>
      <c r="T56" t="str">
        <f t="shared" si="13"/>
        <v>axALM[]</v>
      </c>
      <c r="U56" t="s">
        <v>138</v>
      </c>
      <c r="V56" s="5" t="s">
        <v>12</v>
      </c>
      <c r="W56" s="12" t="b">
        <v>0</v>
      </c>
    </row>
    <row r="57" spans="1:23" ht="14.25" customHeight="1" x14ac:dyDescent="0.3">
      <c r="A57" s="5" t="s">
        <v>88</v>
      </c>
      <c r="B57" s="7" t="s">
        <v>101</v>
      </c>
      <c r="C57" s="9" t="s">
        <v>279</v>
      </c>
      <c r="D57" s="14" t="s">
        <v>292</v>
      </c>
      <c r="E57" s="6" t="s">
        <v>214</v>
      </c>
      <c r="F57" s="7" t="s">
        <v>11</v>
      </c>
      <c r="G57" s="5" t="s">
        <v>194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258</v>
      </c>
      <c r="L57" s="6" t="s">
        <v>314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12</v>
      </c>
      <c r="P57" s="5" t="s">
        <v>12</v>
      </c>
      <c r="Q57" s="5" t="s">
        <v>12</v>
      </c>
      <c r="R57" s="7" t="s">
        <v>12</v>
      </c>
      <c r="S57" s="7" t="s">
        <v>13</v>
      </c>
      <c r="T57" t="str">
        <f t="shared" si="13"/>
        <v>axALM[]</v>
      </c>
      <c r="U57" t="s">
        <v>138</v>
      </c>
      <c r="V57" s="5" t="s">
        <v>12</v>
      </c>
      <c r="W57" s="12" t="b">
        <v>0</v>
      </c>
    </row>
    <row r="58" spans="1:23" ht="14.25" customHeight="1" x14ac:dyDescent="0.3">
      <c r="A58" s="5" t="s">
        <v>88</v>
      </c>
      <c r="B58" s="7" t="s">
        <v>102</v>
      </c>
      <c r="C58" s="9" t="s">
        <v>280</v>
      </c>
      <c r="D58" s="14" t="s">
        <v>292</v>
      </c>
      <c r="E58" s="6" t="s">
        <v>214</v>
      </c>
      <c r="F58" s="7" t="s">
        <v>11</v>
      </c>
      <c r="G58" s="5" t="s">
        <v>194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258</v>
      </c>
      <c r="L58" s="6" t="s">
        <v>314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12</v>
      </c>
      <c r="P58" s="5" t="s">
        <v>12</v>
      </c>
      <c r="Q58" s="5" t="s">
        <v>12</v>
      </c>
      <c r="R58" s="7" t="s">
        <v>12</v>
      </c>
      <c r="S58" s="7" t="s">
        <v>13</v>
      </c>
      <c r="T58" t="str">
        <f t="shared" si="13"/>
        <v>axALM[]</v>
      </c>
      <c r="U58" t="s">
        <v>138</v>
      </c>
      <c r="V58" s="5" t="s">
        <v>12</v>
      </c>
      <c r="W58" s="12" t="b">
        <v>0</v>
      </c>
    </row>
    <row r="59" spans="1:23" ht="14.25" customHeight="1" x14ac:dyDescent="0.3">
      <c r="A59" s="5" t="s">
        <v>88</v>
      </c>
      <c r="B59" s="7" t="s">
        <v>103</v>
      </c>
      <c r="C59" s="7" t="s">
        <v>104</v>
      </c>
      <c r="D59" s="14" t="s">
        <v>299</v>
      </c>
      <c r="E59" s="6" t="s">
        <v>214</v>
      </c>
      <c r="F59" s="7" t="s">
        <v>11</v>
      </c>
      <c r="G59" s="5" t="s">
        <v>194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258</v>
      </c>
      <c r="L59" s="6" t="s">
        <v>314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12</v>
      </c>
      <c r="P59" s="5" t="s">
        <v>12</v>
      </c>
      <c r="Q59" s="5" t="s">
        <v>12</v>
      </c>
      <c r="R59" s="7" t="s">
        <v>12</v>
      </c>
      <c r="S59" s="7" t="s">
        <v>13</v>
      </c>
      <c r="T59" t="str">
        <f t="shared" si="13"/>
        <v>axALM[]</v>
      </c>
      <c r="U59" t="s">
        <v>138</v>
      </c>
      <c r="V59" s="5" t="s">
        <v>12</v>
      </c>
      <c r="W59" s="12" t="b">
        <v>0</v>
      </c>
    </row>
    <row r="60" spans="1:23" ht="14.25" customHeight="1" x14ac:dyDescent="0.3">
      <c r="A60" s="5" t="s">
        <v>88</v>
      </c>
      <c r="B60" s="7" t="s">
        <v>105</v>
      </c>
      <c r="C60" s="7" t="s">
        <v>106</v>
      </c>
      <c r="D60" s="14" t="s">
        <v>299</v>
      </c>
      <c r="E60" s="6" t="s">
        <v>214</v>
      </c>
      <c r="F60" s="7" t="s">
        <v>11</v>
      </c>
      <c r="G60" s="5" t="s">
        <v>194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258</v>
      </c>
      <c r="L60" s="6" t="s">
        <v>314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12</v>
      </c>
      <c r="P60" s="5" t="s">
        <v>12</v>
      </c>
      <c r="Q60" s="5" t="s">
        <v>12</v>
      </c>
      <c r="R60" s="7" t="s">
        <v>12</v>
      </c>
      <c r="S60" s="7" t="s">
        <v>13</v>
      </c>
      <c r="T60" t="str">
        <f t="shared" si="13"/>
        <v>axALM[]</v>
      </c>
      <c r="U60" t="s">
        <v>138</v>
      </c>
      <c r="V60" s="5" t="s">
        <v>12</v>
      </c>
      <c r="W60" s="12" t="b">
        <v>0</v>
      </c>
    </row>
    <row r="61" spans="1:23" ht="14.25" customHeight="1" x14ac:dyDescent="0.3">
      <c r="A61" s="5" t="s">
        <v>88</v>
      </c>
      <c r="B61" s="7" t="s">
        <v>107</v>
      </c>
      <c r="C61" s="7" t="s">
        <v>108</v>
      </c>
      <c r="D61" s="14" t="s">
        <v>291</v>
      </c>
      <c r="E61" s="6" t="s">
        <v>214</v>
      </c>
      <c r="F61" s="7" t="s">
        <v>11</v>
      </c>
      <c r="G61" s="5" t="s">
        <v>194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258</v>
      </c>
      <c r="L61" s="6" t="s">
        <v>314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12</v>
      </c>
      <c r="P61" s="5" t="s">
        <v>12</v>
      </c>
      <c r="Q61" s="5" t="s">
        <v>12</v>
      </c>
      <c r="R61" s="7" t="s">
        <v>12</v>
      </c>
      <c r="S61" s="7" t="s">
        <v>13</v>
      </c>
      <c r="T61" t="str">
        <f t="shared" si="13"/>
        <v>axALM[]</v>
      </c>
      <c r="U61" t="s">
        <v>138</v>
      </c>
      <c r="V61" s="5" t="s">
        <v>12</v>
      </c>
      <c r="W61" s="12" t="b">
        <v>0</v>
      </c>
    </row>
    <row r="62" spans="1:23" ht="14.25" customHeight="1" x14ac:dyDescent="0.3">
      <c r="A62" s="5" t="s">
        <v>88</v>
      </c>
      <c r="B62" s="7" t="s">
        <v>109</v>
      </c>
      <c r="C62" s="7" t="s">
        <v>110</v>
      </c>
      <c r="D62" s="14" t="s">
        <v>293</v>
      </c>
      <c r="E62" s="6" t="s">
        <v>214</v>
      </c>
      <c r="F62" s="7" t="s">
        <v>11</v>
      </c>
      <c r="G62" s="5" t="s">
        <v>194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258</v>
      </c>
      <c r="L62" s="6" t="s">
        <v>314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12</v>
      </c>
      <c r="P62" s="5" t="s">
        <v>12</v>
      </c>
      <c r="Q62" s="5" t="s">
        <v>12</v>
      </c>
      <c r="R62" s="7" t="s">
        <v>12</v>
      </c>
      <c r="S62" s="7" t="s">
        <v>13</v>
      </c>
      <c r="T62" t="str">
        <f t="shared" si="13"/>
        <v>axALM[]</v>
      </c>
      <c r="U62" t="s">
        <v>138</v>
      </c>
      <c r="V62" s="5" t="s">
        <v>12</v>
      </c>
      <c r="W62" s="12" t="b">
        <v>0</v>
      </c>
    </row>
    <row r="63" spans="1:23" ht="14.25" customHeight="1" x14ac:dyDescent="0.3">
      <c r="A63" s="5" t="s">
        <v>88</v>
      </c>
      <c r="B63" s="7" t="s">
        <v>111</v>
      </c>
      <c r="C63" s="7" t="s">
        <v>112</v>
      </c>
      <c r="D63" s="14" t="s">
        <v>295</v>
      </c>
      <c r="E63" s="6" t="s">
        <v>214</v>
      </c>
      <c r="F63" s="7" t="s">
        <v>11</v>
      </c>
      <c r="G63" s="5" t="s">
        <v>194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258</v>
      </c>
      <c r="L63" s="6" t="s">
        <v>314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12</v>
      </c>
      <c r="P63" s="5" t="s">
        <v>12</v>
      </c>
      <c r="Q63" s="5" t="s">
        <v>12</v>
      </c>
      <c r="R63" s="7" t="s">
        <v>12</v>
      </c>
      <c r="S63" s="7" t="s">
        <v>13</v>
      </c>
      <c r="T63" t="str">
        <f t="shared" si="13"/>
        <v>axALM[]</v>
      </c>
      <c r="U63" t="s">
        <v>138</v>
      </c>
      <c r="V63" s="5" t="s">
        <v>12</v>
      </c>
      <c r="W63" s="12" t="b">
        <v>0</v>
      </c>
    </row>
    <row r="64" spans="1:23" ht="14.25" customHeight="1" x14ac:dyDescent="0.3">
      <c r="A64" s="5" t="s">
        <v>88</v>
      </c>
      <c r="B64" s="7" t="s">
        <v>113</v>
      </c>
      <c r="C64" s="7" t="s">
        <v>114</v>
      </c>
      <c r="D64" s="14" t="s">
        <v>296</v>
      </c>
      <c r="E64" s="6" t="s">
        <v>214</v>
      </c>
      <c r="F64" s="7" t="s">
        <v>11</v>
      </c>
      <c r="G64" s="5" t="s">
        <v>194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258</v>
      </c>
      <c r="L64" s="6" t="s">
        <v>314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12</v>
      </c>
      <c r="P64" s="5" t="s">
        <v>12</v>
      </c>
      <c r="Q64" s="5" t="s">
        <v>12</v>
      </c>
      <c r="R64" s="7" t="s">
        <v>12</v>
      </c>
      <c r="S64" s="7" t="s">
        <v>13</v>
      </c>
      <c r="T64" t="str">
        <f t="shared" si="13"/>
        <v>axALM[]</v>
      </c>
      <c r="U64" t="s">
        <v>138</v>
      </c>
      <c r="V64" s="5" t="s">
        <v>12</v>
      </c>
      <c r="W64" s="12" t="b">
        <v>0</v>
      </c>
    </row>
    <row r="65" spans="1:23" ht="14.25" customHeight="1" x14ac:dyDescent="0.3">
      <c r="A65" s="5" t="s">
        <v>88</v>
      </c>
      <c r="B65" s="7" t="s">
        <v>115</v>
      </c>
      <c r="C65" s="7" t="s">
        <v>116</v>
      </c>
      <c r="D65" s="14" t="s">
        <v>296</v>
      </c>
      <c r="E65" s="6" t="s">
        <v>214</v>
      </c>
      <c r="F65" s="7" t="s">
        <v>11</v>
      </c>
      <c r="G65" s="5" t="s">
        <v>194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258</v>
      </c>
      <c r="L65" s="6" t="s">
        <v>314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12</v>
      </c>
      <c r="P65" s="5" t="s">
        <v>12</v>
      </c>
      <c r="Q65" s="5" t="s">
        <v>12</v>
      </c>
      <c r="R65" s="7" t="s">
        <v>12</v>
      </c>
      <c r="S65" s="7" t="s">
        <v>13</v>
      </c>
      <c r="T65" t="str">
        <f t="shared" si="13"/>
        <v>axALM[]</v>
      </c>
      <c r="U65" t="s">
        <v>138</v>
      </c>
      <c r="V65" s="5" t="s">
        <v>12</v>
      </c>
      <c r="W65" s="12" t="b">
        <v>0</v>
      </c>
    </row>
    <row r="66" spans="1:23" ht="14.25" customHeight="1" x14ac:dyDescent="0.3">
      <c r="A66" s="5" t="s">
        <v>88</v>
      </c>
      <c r="B66" s="7" t="s">
        <v>117</v>
      </c>
      <c r="C66" s="7" t="s">
        <v>118</v>
      </c>
      <c r="D66" s="14" t="s">
        <v>296</v>
      </c>
      <c r="E66" s="6" t="s">
        <v>214</v>
      </c>
      <c r="F66" s="7" t="s">
        <v>11</v>
      </c>
      <c r="G66" s="5" t="s">
        <v>194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258</v>
      </c>
      <c r="L66" s="6" t="s">
        <v>314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12</v>
      </c>
      <c r="P66" s="5" t="s">
        <v>12</v>
      </c>
      <c r="Q66" s="5" t="s">
        <v>12</v>
      </c>
      <c r="R66" s="7" t="s">
        <v>12</v>
      </c>
      <c r="S66" s="7" t="s">
        <v>13</v>
      </c>
      <c r="T66" t="str">
        <f t="shared" si="13"/>
        <v>axALM[]</v>
      </c>
      <c r="U66" t="s">
        <v>138</v>
      </c>
      <c r="V66" s="5" t="s">
        <v>12</v>
      </c>
      <c r="W66" s="12" t="b">
        <v>0</v>
      </c>
    </row>
    <row r="67" spans="1:23" ht="14.25" customHeight="1" x14ac:dyDescent="0.3">
      <c r="A67" s="5" t="s">
        <v>88</v>
      </c>
      <c r="B67" s="7" t="s">
        <v>119</v>
      </c>
      <c r="C67" s="9" t="s">
        <v>120</v>
      </c>
      <c r="D67" s="14" t="s">
        <v>292</v>
      </c>
      <c r="E67" s="6" t="s">
        <v>214</v>
      </c>
      <c r="F67" s="7" t="s">
        <v>11</v>
      </c>
      <c r="G67" s="5" t="s">
        <v>194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258</v>
      </c>
      <c r="L67" s="6" t="s">
        <v>314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12</v>
      </c>
      <c r="P67" s="5" t="s">
        <v>12</v>
      </c>
      <c r="Q67" s="5" t="s">
        <v>12</v>
      </c>
      <c r="R67" s="7" t="s">
        <v>12</v>
      </c>
      <c r="S67" s="7" t="s">
        <v>13</v>
      </c>
      <c r="T67" t="str">
        <f t="shared" si="13"/>
        <v>axALM[]</v>
      </c>
      <c r="U67" t="s">
        <v>138</v>
      </c>
      <c r="V67" s="5" t="s">
        <v>12</v>
      </c>
      <c r="W67" s="12" t="b">
        <v>0</v>
      </c>
    </row>
    <row r="68" spans="1:23" ht="14.25" customHeight="1" x14ac:dyDescent="0.3">
      <c r="A68" s="5" t="s">
        <v>121</v>
      </c>
      <c r="B68" s="7" t="s">
        <v>122</v>
      </c>
      <c r="C68" s="7" t="s">
        <v>123</v>
      </c>
      <c r="D68" s="14" t="s">
        <v>296</v>
      </c>
      <c r="E68" s="6" t="s">
        <v>214</v>
      </c>
      <c r="F68" s="7" t="s">
        <v>11</v>
      </c>
      <c r="G68" s="5" t="s">
        <v>194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258</v>
      </c>
      <c r="L68" s="6" t="s">
        <v>314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12</v>
      </c>
      <c r="P68" s="5" t="s">
        <v>12</v>
      </c>
      <c r="Q68" s="5" t="s">
        <v>12</v>
      </c>
      <c r="R68" s="7" t="s">
        <v>12</v>
      </c>
      <c r="S68" s="7" t="s">
        <v>13</v>
      </c>
      <c r="T68" s="5" t="str">
        <f t="shared" ref="T68:T76" si="16">_xlfn.CONCAT("axFLT[",AB1,"]")</f>
        <v>axFLT[]</v>
      </c>
      <c r="U68" t="s">
        <v>138</v>
      </c>
      <c r="V68" s="5" t="s">
        <v>12</v>
      </c>
      <c r="W68" s="12" t="b">
        <v>0</v>
      </c>
    </row>
    <row r="69" spans="1:23" ht="14.25" customHeight="1" x14ac:dyDescent="0.3">
      <c r="A69" s="5" t="s">
        <v>121</v>
      </c>
      <c r="B69" s="7" t="s">
        <v>124</v>
      </c>
      <c r="C69" s="7" t="s">
        <v>125</v>
      </c>
      <c r="D69" s="14" t="s">
        <v>298</v>
      </c>
      <c r="E69" s="6" t="s">
        <v>214</v>
      </c>
      <c r="F69" s="7" t="s">
        <v>11</v>
      </c>
      <c r="G69" s="5" t="s">
        <v>194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258</v>
      </c>
      <c r="L69" s="6" t="s">
        <v>314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12</v>
      </c>
      <c r="P69" s="5" t="s">
        <v>12</v>
      </c>
      <c r="Q69" s="5" t="s">
        <v>12</v>
      </c>
      <c r="R69" s="7" t="s">
        <v>12</v>
      </c>
      <c r="S69" s="7" t="s">
        <v>13</v>
      </c>
      <c r="T69" s="5" t="str">
        <f t="shared" si="16"/>
        <v>axFLT[]</v>
      </c>
      <c r="U69" t="s">
        <v>138</v>
      </c>
      <c r="V69" s="5" t="s">
        <v>12</v>
      </c>
      <c r="W69" s="12" t="b">
        <v>0</v>
      </c>
    </row>
    <row r="70" spans="1:23" ht="14.25" customHeight="1" x14ac:dyDescent="0.3">
      <c r="A70" s="5" t="s">
        <v>121</v>
      </c>
      <c r="B70" s="7" t="s">
        <v>126</v>
      </c>
      <c r="C70" s="7" t="s">
        <v>127</v>
      </c>
      <c r="D70" s="14" t="s">
        <v>294</v>
      </c>
      <c r="E70" s="6" t="s">
        <v>214</v>
      </c>
      <c r="F70" s="7" t="s">
        <v>11</v>
      </c>
      <c r="G70" s="5" t="s">
        <v>194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258</v>
      </c>
      <c r="L70" s="6" t="s">
        <v>314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12</v>
      </c>
      <c r="P70" s="5" t="s">
        <v>12</v>
      </c>
      <c r="Q70" s="5" t="s">
        <v>12</v>
      </c>
      <c r="R70" s="7" t="s">
        <v>12</v>
      </c>
      <c r="S70" s="7" t="s">
        <v>13</v>
      </c>
      <c r="T70" s="5" t="str">
        <f t="shared" si="16"/>
        <v>axFLT[]</v>
      </c>
      <c r="U70" t="s">
        <v>138</v>
      </c>
      <c r="V70" s="5" t="s">
        <v>12</v>
      </c>
      <c r="W70" s="12" t="b">
        <v>0</v>
      </c>
    </row>
    <row r="71" spans="1:23" ht="14.25" customHeight="1" x14ac:dyDescent="0.3">
      <c r="A71" s="5" t="s">
        <v>121</v>
      </c>
      <c r="B71" s="7" t="s">
        <v>128</v>
      </c>
      <c r="C71" s="7" t="s">
        <v>129</v>
      </c>
      <c r="D71" s="14" t="s">
        <v>298</v>
      </c>
      <c r="E71" s="6" t="s">
        <v>214</v>
      </c>
      <c r="F71" s="7" t="s">
        <v>11</v>
      </c>
      <c r="G71" s="5" t="s">
        <v>194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258</v>
      </c>
      <c r="L71" s="6" t="s">
        <v>314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12</v>
      </c>
      <c r="P71" s="5" t="s">
        <v>12</v>
      </c>
      <c r="Q71" s="5" t="s">
        <v>12</v>
      </c>
      <c r="R71" s="7" t="s">
        <v>12</v>
      </c>
      <c r="S71" s="7" t="s">
        <v>13</v>
      </c>
      <c r="T71" s="5" t="str">
        <f t="shared" si="16"/>
        <v>axFLT[]</v>
      </c>
      <c r="U71" t="s">
        <v>138</v>
      </c>
      <c r="V71" s="5" t="s">
        <v>12</v>
      </c>
      <c r="W71" s="12" t="b">
        <v>0</v>
      </c>
    </row>
    <row r="72" spans="1:23" ht="14.25" customHeight="1" x14ac:dyDescent="0.3">
      <c r="A72" s="5" t="s">
        <v>121</v>
      </c>
      <c r="B72" s="7" t="s">
        <v>130</v>
      </c>
      <c r="C72" s="7" t="s">
        <v>131</v>
      </c>
      <c r="D72" s="14" t="s">
        <v>294</v>
      </c>
      <c r="E72" s="6" t="s">
        <v>214</v>
      </c>
      <c r="F72" s="7" t="s">
        <v>11</v>
      </c>
      <c r="G72" s="5" t="s">
        <v>194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258</v>
      </c>
      <c r="L72" s="6" t="s">
        <v>314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12</v>
      </c>
      <c r="P72" s="5" t="s">
        <v>12</v>
      </c>
      <c r="Q72" s="5" t="s">
        <v>12</v>
      </c>
      <c r="R72" s="7" t="s">
        <v>12</v>
      </c>
      <c r="S72" s="7" t="s">
        <v>13</v>
      </c>
      <c r="T72" s="5" t="str">
        <f t="shared" si="16"/>
        <v>axFLT[]</v>
      </c>
      <c r="U72" t="s">
        <v>138</v>
      </c>
      <c r="V72" s="5" t="s">
        <v>12</v>
      </c>
      <c r="W72" s="12" t="b">
        <v>0</v>
      </c>
    </row>
    <row r="73" spans="1:23" ht="14.25" customHeight="1" x14ac:dyDescent="0.3">
      <c r="A73" s="5" t="s">
        <v>121</v>
      </c>
      <c r="B73" s="7" t="s">
        <v>132</v>
      </c>
      <c r="C73" s="9" t="s">
        <v>269</v>
      </c>
      <c r="D73" s="14" t="s">
        <v>292</v>
      </c>
      <c r="E73" s="6" t="s">
        <v>214</v>
      </c>
      <c r="F73" s="7" t="s">
        <v>11</v>
      </c>
      <c r="G73" s="5" t="s">
        <v>194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258</v>
      </c>
      <c r="L73" s="6" t="s">
        <v>314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12</v>
      </c>
      <c r="P73" s="5" t="s">
        <v>12</v>
      </c>
      <c r="Q73" s="5" t="s">
        <v>12</v>
      </c>
      <c r="R73" s="7" t="s">
        <v>12</v>
      </c>
      <c r="S73" s="7" t="s">
        <v>13</v>
      </c>
      <c r="T73" s="5" t="str">
        <f t="shared" si="16"/>
        <v>axFLT[]</v>
      </c>
      <c r="U73" t="s">
        <v>138</v>
      </c>
      <c r="V73" s="5" t="s">
        <v>12</v>
      </c>
      <c r="W73" s="12" t="b">
        <v>0</v>
      </c>
    </row>
    <row r="74" spans="1:23" ht="14.25" customHeight="1" x14ac:dyDescent="0.3">
      <c r="A74" s="5" t="s">
        <v>121</v>
      </c>
      <c r="B74" s="7" t="s">
        <v>133</v>
      </c>
      <c r="C74" s="13" t="s">
        <v>289</v>
      </c>
      <c r="D74" s="14" t="s">
        <v>296</v>
      </c>
      <c r="E74" s="6" t="s">
        <v>214</v>
      </c>
      <c r="F74" s="7" t="s">
        <v>11</v>
      </c>
      <c r="G74" s="5" t="s">
        <v>194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258</v>
      </c>
      <c r="L74" s="6" t="s">
        <v>314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12</v>
      </c>
      <c r="P74" s="5" t="s">
        <v>12</v>
      </c>
      <c r="Q74" s="5" t="s">
        <v>12</v>
      </c>
      <c r="R74" s="7" t="s">
        <v>12</v>
      </c>
      <c r="S74" s="7" t="s">
        <v>13</v>
      </c>
      <c r="T74" s="5" t="str">
        <f t="shared" si="16"/>
        <v>axFLT[]</v>
      </c>
      <c r="U74" t="s">
        <v>138</v>
      </c>
      <c r="V74" s="5" t="s">
        <v>12</v>
      </c>
      <c r="W74" s="12" t="b">
        <v>0</v>
      </c>
    </row>
    <row r="75" spans="1:23" ht="14.25" customHeight="1" x14ac:dyDescent="0.3">
      <c r="A75" s="5" t="s">
        <v>121</v>
      </c>
      <c r="B75" s="7" t="s">
        <v>134</v>
      </c>
      <c r="C75" s="9" t="s">
        <v>282</v>
      </c>
      <c r="D75" s="14" t="s">
        <v>291</v>
      </c>
      <c r="E75" s="6" t="s">
        <v>214</v>
      </c>
      <c r="F75" s="7" t="s">
        <v>11</v>
      </c>
      <c r="G75" s="5" t="s">
        <v>194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258</v>
      </c>
      <c r="L75" s="6" t="s">
        <v>314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12</v>
      </c>
      <c r="P75" s="5" t="s">
        <v>12</v>
      </c>
      <c r="Q75" s="5" t="s">
        <v>12</v>
      </c>
      <c r="R75" s="5" t="s">
        <v>12</v>
      </c>
      <c r="S75" s="5" t="s">
        <v>13</v>
      </c>
      <c r="T75" s="5" t="str">
        <f t="shared" si="16"/>
        <v>axFLT[]</v>
      </c>
      <c r="U75" t="s">
        <v>138</v>
      </c>
      <c r="V75" s="5" t="s">
        <v>12</v>
      </c>
      <c r="W75" s="12" t="b">
        <v>0</v>
      </c>
    </row>
    <row r="76" spans="1:23" ht="14.25" customHeight="1" x14ac:dyDescent="0.3">
      <c r="A76" s="5" t="s">
        <v>121</v>
      </c>
      <c r="B76" s="5" t="s">
        <v>192</v>
      </c>
      <c r="C76" s="5" t="s">
        <v>193</v>
      </c>
      <c r="D76" s="14" t="s">
        <v>290</v>
      </c>
      <c r="E76" s="6" t="s">
        <v>214</v>
      </c>
      <c r="F76" s="5" t="s">
        <v>11</v>
      </c>
      <c r="G76" s="5" t="s">
        <v>194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258</v>
      </c>
      <c r="L76" s="6" t="s">
        <v>314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12</v>
      </c>
      <c r="P76" s="5" t="s">
        <v>12</v>
      </c>
      <c r="Q76" s="5" t="s">
        <v>12</v>
      </c>
      <c r="R76" s="5" t="s">
        <v>12</v>
      </c>
      <c r="S76" s="5" t="s">
        <v>13</v>
      </c>
      <c r="T76" s="5" t="str">
        <f t="shared" si="16"/>
        <v>axFLT[]</v>
      </c>
      <c r="U76" t="s">
        <v>138</v>
      </c>
      <c r="V76" s="5" t="s">
        <v>12</v>
      </c>
      <c r="W76" s="12" t="b">
        <v>0</v>
      </c>
    </row>
    <row r="77" spans="1:23" ht="14.25" customHeight="1" x14ac:dyDescent="0.3">
      <c r="A77" s="5" t="s">
        <v>135</v>
      </c>
      <c r="B77" s="7" t="s">
        <v>136</v>
      </c>
      <c r="C77" s="9" t="s">
        <v>285</v>
      </c>
      <c r="D77" s="14" t="s">
        <v>294</v>
      </c>
      <c r="E77" s="6" t="s">
        <v>214</v>
      </c>
      <c r="F77" s="7" t="s">
        <v>137</v>
      </c>
      <c r="G77" s="5" t="s">
        <v>200</v>
      </c>
      <c r="H77" s="5" t="s">
        <v>188</v>
      </c>
      <c r="I77" s="5" t="s">
        <v>188</v>
      </c>
      <c r="J77" s="5" t="s">
        <v>188</v>
      </c>
      <c r="K77" s="8" t="s">
        <v>12</v>
      </c>
      <c r="L77" s="8"/>
      <c r="M77" s="5">
        <v>16</v>
      </c>
      <c r="N77" s="5" t="s">
        <v>216</v>
      </c>
      <c r="O77">
        <v>8</v>
      </c>
      <c r="P77" s="5" t="s">
        <v>217</v>
      </c>
      <c r="Q77">
        <v>1</v>
      </c>
      <c r="R77" s="5" t="s">
        <v>187</v>
      </c>
      <c r="S77" s="7" t="s">
        <v>138</v>
      </c>
      <c r="T77" s="5" t="s">
        <v>251</v>
      </c>
      <c r="U77" s="5" t="s">
        <v>13</v>
      </c>
      <c r="V77" s="5" t="s">
        <v>12</v>
      </c>
      <c r="W77" s="12" t="b">
        <v>0</v>
      </c>
    </row>
    <row r="78" spans="1:23" ht="14.25" customHeight="1" x14ac:dyDescent="0.3">
      <c r="A78" s="5" t="s">
        <v>135</v>
      </c>
      <c r="B78" s="7" t="s">
        <v>139</v>
      </c>
      <c r="C78" s="7" t="s">
        <v>140</v>
      </c>
      <c r="D78" s="14" t="s">
        <v>296</v>
      </c>
      <c r="E78" s="6" t="s">
        <v>214</v>
      </c>
      <c r="F78" s="7" t="s">
        <v>141</v>
      </c>
      <c r="G78" s="5" t="s">
        <v>200</v>
      </c>
      <c r="H78" s="5" t="s">
        <v>188</v>
      </c>
      <c r="I78" s="5" t="s">
        <v>188</v>
      </c>
      <c r="J78" s="5" t="s">
        <v>188</v>
      </c>
      <c r="K78" s="8" t="s">
        <v>12</v>
      </c>
      <c r="L78" s="8"/>
      <c r="M78" s="5">
        <v>16</v>
      </c>
      <c r="N78" s="5" t="s">
        <v>202</v>
      </c>
      <c r="O78" s="5">
        <v>9</v>
      </c>
      <c r="P78" s="5" t="s">
        <v>212</v>
      </c>
      <c r="Q78" s="5">
        <v>1</v>
      </c>
      <c r="R78" s="5" t="s">
        <v>187</v>
      </c>
      <c r="S78" s="7" t="s">
        <v>138</v>
      </c>
      <c r="T78" s="5" t="s">
        <v>252</v>
      </c>
      <c r="U78" s="5" t="s">
        <v>13</v>
      </c>
      <c r="V78" s="5" t="s">
        <v>12</v>
      </c>
      <c r="W78" s="12" t="b">
        <v>0</v>
      </c>
    </row>
    <row r="79" spans="1:23" ht="14.25" customHeight="1" x14ac:dyDescent="0.3">
      <c r="A79" s="5" t="s">
        <v>135</v>
      </c>
      <c r="B79" s="7" t="s">
        <v>142</v>
      </c>
      <c r="C79" s="7" t="s">
        <v>143</v>
      </c>
      <c r="D79" s="14" t="s">
        <v>296</v>
      </c>
      <c r="E79" s="6" t="s">
        <v>214</v>
      </c>
      <c r="F79" s="7" t="s">
        <v>141</v>
      </c>
      <c r="G79" s="5" t="s">
        <v>200</v>
      </c>
      <c r="H79" s="5" t="s">
        <v>188</v>
      </c>
      <c r="I79" s="5" t="s">
        <v>188</v>
      </c>
      <c r="J79" s="5" t="s">
        <v>188</v>
      </c>
      <c r="K79" s="8" t="s">
        <v>12</v>
      </c>
      <c r="L79" s="8"/>
      <c r="M79" s="5">
        <v>16</v>
      </c>
      <c r="N79" s="5" t="s">
        <v>203</v>
      </c>
      <c r="O79" s="5">
        <v>9</v>
      </c>
      <c r="P79" s="5" t="s">
        <v>212</v>
      </c>
      <c r="Q79" s="5">
        <v>2</v>
      </c>
      <c r="R79" s="5" t="s">
        <v>187</v>
      </c>
      <c r="S79" s="7" t="s">
        <v>138</v>
      </c>
      <c r="T79" s="5" t="s">
        <v>253</v>
      </c>
      <c r="U79" s="5" t="s">
        <v>13</v>
      </c>
      <c r="V79" s="5" t="s">
        <v>12</v>
      </c>
      <c r="W79" s="12" t="b">
        <v>0</v>
      </c>
    </row>
    <row r="80" spans="1:23" ht="13.8" customHeight="1" x14ac:dyDescent="0.3">
      <c r="A80" s="5" t="s">
        <v>135</v>
      </c>
      <c r="B80" s="7" t="s">
        <v>144</v>
      </c>
      <c r="C80" s="7" t="s">
        <v>145</v>
      </c>
      <c r="D80" s="14" t="s">
        <v>296</v>
      </c>
      <c r="E80" s="6" t="s">
        <v>214</v>
      </c>
      <c r="F80" s="7" t="s">
        <v>141</v>
      </c>
      <c r="G80" s="5" t="s">
        <v>200</v>
      </c>
      <c r="H80" s="5" t="s">
        <v>188</v>
      </c>
      <c r="I80" s="5" t="s">
        <v>188</v>
      </c>
      <c r="J80" s="5" t="s">
        <v>188</v>
      </c>
      <c r="K80" s="8" t="s">
        <v>12</v>
      </c>
      <c r="L80" s="8"/>
      <c r="M80" s="5">
        <v>16</v>
      </c>
      <c r="N80" s="5" t="s">
        <v>204</v>
      </c>
      <c r="O80">
        <v>10</v>
      </c>
      <c r="P80" s="5" t="s">
        <v>212</v>
      </c>
      <c r="Q80">
        <v>1</v>
      </c>
      <c r="R80" s="5" t="s">
        <v>187</v>
      </c>
      <c r="S80" s="7" t="s">
        <v>138</v>
      </c>
      <c r="T80" s="5" t="s">
        <v>254</v>
      </c>
      <c r="U80" s="5" t="s">
        <v>13</v>
      </c>
      <c r="V80" s="5" t="s">
        <v>12</v>
      </c>
      <c r="W80" s="12" t="b">
        <v>0</v>
      </c>
    </row>
    <row r="81" spans="1:23" ht="13.8" customHeight="1" x14ac:dyDescent="0.3">
      <c r="A81" s="5" t="s">
        <v>135</v>
      </c>
      <c r="B81" s="7" t="s">
        <v>146</v>
      </c>
      <c r="C81" s="7" t="s">
        <v>281</v>
      </c>
      <c r="D81" s="7"/>
      <c r="E81" s="5" t="s">
        <v>215</v>
      </c>
      <c r="F81" s="7" t="s">
        <v>137</v>
      </c>
      <c r="G81" s="5" t="s">
        <v>200</v>
      </c>
      <c r="H81" s="5" t="s">
        <v>188</v>
      </c>
      <c r="I81" s="5" t="s">
        <v>188</v>
      </c>
      <c r="J81" s="5" t="s">
        <v>188</v>
      </c>
      <c r="K81" s="8" t="s">
        <v>12</v>
      </c>
      <c r="L81" s="8"/>
      <c r="M81" s="5">
        <v>16</v>
      </c>
      <c r="R81" s="5" t="s">
        <v>187</v>
      </c>
      <c r="S81" s="7" t="s">
        <v>138</v>
      </c>
      <c r="U81" s="5" t="s">
        <v>13</v>
      </c>
      <c r="V81" s="5" t="s">
        <v>12</v>
      </c>
      <c r="W81" s="12" t="b">
        <v>0</v>
      </c>
    </row>
    <row r="82" spans="1:23" ht="14.25" customHeight="1" x14ac:dyDescent="0.3">
      <c r="A82" s="5" t="s">
        <v>135</v>
      </c>
      <c r="B82" s="7" t="s">
        <v>147</v>
      </c>
      <c r="C82" s="7" t="s">
        <v>281</v>
      </c>
      <c r="D82" s="7"/>
      <c r="E82" s="5" t="s">
        <v>215</v>
      </c>
      <c r="F82" s="7" t="s">
        <v>137</v>
      </c>
      <c r="G82" s="5" t="s">
        <v>200</v>
      </c>
      <c r="H82" s="5" t="s">
        <v>188</v>
      </c>
      <c r="I82" s="5" t="s">
        <v>188</v>
      </c>
      <c r="J82" s="5" t="s">
        <v>188</v>
      </c>
      <c r="K82" s="8" t="s">
        <v>12</v>
      </c>
      <c r="L82" s="8"/>
      <c r="M82" s="5">
        <v>16</v>
      </c>
      <c r="R82" s="5" t="s">
        <v>187</v>
      </c>
      <c r="S82" s="7" t="s">
        <v>138</v>
      </c>
      <c r="U82" s="5" t="s">
        <v>13</v>
      </c>
      <c r="V82" s="5" t="s">
        <v>12</v>
      </c>
      <c r="W82" s="12" t="b">
        <v>0</v>
      </c>
    </row>
    <row r="83" spans="1:23" ht="14.25" customHeight="1" x14ac:dyDescent="0.3">
      <c r="A83" s="5" t="s">
        <v>135</v>
      </c>
      <c r="B83" s="7" t="s">
        <v>148</v>
      </c>
      <c r="C83" s="9" t="s">
        <v>286</v>
      </c>
      <c r="D83" s="14" t="s">
        <v>295</v>
      </c>
      <c r="E83" s="6" t="s">
        <v>214</v>
      </c>
      <c r="F83" s="7" t="s">
        <v>137</v>
      </c>
      <c r="G83" s="5" t="s">
        <v>200</v>
      </c>
      <c r="H83" s="5" t="s">
        <v>188</v>
      </c>
      <c r="I83" s="5" t="s">
        <v>188</v>
      </c>
      <c r="J83" s="5" t="s">
        <v>188</v>
      </c>
      <c r="K83" s="8" t="s">
        <v>12</v>
      </c>
      <c r="L83" s="8"/>
      <c r="M83" s="5">
        <v>16</v>
      </c>
      <c r="N83" s="5" t="s">
        <v>218</v>
      </c>
      <c r="O83">
        <v>8</v>
      </c>
      <c r="P83" s="5" t="s">
        <v>217</v>
      </c>
      <c r="Q83">
        <v>2</v>
      </c>
      <c r="R83" s="5" t="s">
        <v>187</v>
      </c>
      <c r="S83" s="7" t="s">
        <v>138</v>
      </c>
      <c r="T83" s="5" t="s">
        <v>250</v>
      </c>
      <c r="U83" s="5" t="s">
        <v>13</v>
      </c>
      <c r="V83" s="5" t="s">
        <v>12</v>
      </c>
      <c r="W83" s="12" t="b">
        <v>0</v>
      </c>
    </row>
    <row r="84" spans="1:23" ht="14.25" customHeight="1" x14ac:dyDescent="0.3">
      <c r="A84" s="5" t="s">
        <v>135</v>
      </c>
      <c r="B84" s="7" t="s">
        <v>149</v>
      </c>
      <c r="C84" s="7" t="s">
        <v>150</v>
      </c>
      <c r="D84" s="14" t="s">
        <v>294</v>
      </c>
      <c r="E84" s="6" t="s">
        <v>214</v>
      </c>
      <c r="F84" s="7" t="s">
        <v>11</v>
      </c>
      <c r="G84" s="5" t="s">
        <v>200</v>
      </c>
      <c r="H84" s="5" t="s">
        <v>188</v>
      </c>
      <c r="I84" s="5" t="s">
        <v>188</v>
      </c>
      <c r="J84" s="5" t="s">
        <v>188</v>
      </c>
      <c r="K84" s="8" t="s">
        <v>12</v>
      </c>
      <c r="L84" s="8"/>
      <c r="M84" s="6">
        <v>1</v>
      </c>
      <c r="N84" s="5" t="s">
        <v>219</v>
      </c>
      <c r="O84">
        <v>2</v>
      </c>
      <c r="P84" s="5" t="s">
        <v>221</v>
      </c>
      <c r="Q84">
        <v>1</v>
      </c>
      <c r="R84" s="5" t="s">
        <v>187</v>
      </c>
      <c r="S84" s="7" t="s">
        <v>138</v>
      </c>
      <c r="T84" s="5" t="s">
        <v>238</v>
      </c>
      <c r="U84" s="5" t="s">
        <v>13</v>
      </c>
      <c r="V84" s="5" t="s">
        <v>12</v>
      </c>
      <c r="W84" s="12" t="b">
        <v>0</v>
      </c>
    </row>
    <row r="85" spans="1:23" ht="14.25" customHeight="1" x14ac:dyDescent="0.3">
      <c r="A85" s="5" t="s">
        <v>135</v>
      </c>
      <c r="B85" s="7" t="s">
        <v>151</v>
      </c>
      <c r="C85" s="7" t="s">
        <v>152</v>
      </c>
      <c r="D85" s="14" t="s">
        <v>294</v>
      </c>
      <c r="E85" s="6" t="s">
        <v>214</v>
      </c>
      <c r="F85" s="7" t="s">
        <v>11</v>
      </c>
      <c r="G85" s="5" t="s">
        <v>200</v>
      </c>
      <c r="H85" s="5" t="s">
        <v>188</v>
      </c>
      <c r="I85" s="5" t="s">
        <v>188</v>
      </c>
      <c r="J85" s="5" t="s">
        <v>188</v>
      </c>
      <c r="K85" s="8" t="s">
        <v>12</v>
      </c>
      <c r="L85" s="8"/>
      <c r="M85" s="6">
        <v>1</v>
      </c>
      <c r="N85" s="5" t="s">
        <v>220</v>
      </c>
      <c r="O85">
        <v>2</v>
      </c>
      <c r="P85" s="5" t="s">
        <v>221</v>
      </c>
      <c r="Q85">
        <v>2</v>
      </c>
      <c r="R85" s="5" t="s">
        <v>187</v>
      </c>
      <c r="S85" s="7" t="s">
        <v>138</v>
      </c>
      <c r="T85" s="5" t="s">
        <v>239</v>
      </c>
      <c r="U85" s="5" t="s">
        <v>13</v>
      </c>
      <c r="V85" s="5" t="s">
        <v>12</v>
      </c>
      <c r="W85" s="12" t="b">
        <v>0</v>
      </c>
    </row>
    <row r="86" spans="1:23" ht="14.25" customHeight="1" x14ac:dyDescent="0.3">
      <c r="A86" s="5" t="s">
        <v>135</v>
      </c>
      <c r="B86" s="7" t="s">
        <v>153</v>
      </c>
      <c r="C86" s="7" t="s">
        <v>154</v>
      </c>
      <c r="D86" s="14" t="s">
        <v>298</v>
      </c>
      <c r="E86" s="6" t="s">
        <v>214</v>
      </c>
      <c r="F86" s="7" t="s">
        <v>11</v>
      </c>
      <c r="G86" s="5" t="s">
        <v>200</v>
      </c>
      <c r="H86" s="5" t="s">
        <v>188</v>
      </c>
      <c r="I86" s="5" t="s">
        <v>188</v>
      </c>
      <c r="J86" s="5" t="s">
        <v>188</v>
      </c>
      <c r="K86" s="8" t="s">
        <v>12</v>
      </c>
      <c r="L86" s="8"/>
      <c r="M86" s="6">
        <v>1</v>
      </c>
      <c r="N86" s="5" t="s">
        <v>222</v>
      </c>
      <c r="O86">
        <v>1</v>
      </c>
      <c r="P86" s="5" t="s">
        <v>225</v>
      </c>
      <c r="Q86">
        <v>1</v>
      </c>
      <c r="R86" s="5" t="s">
        <v>187</v>
      </c>
      <c r="S86" s="7" t="s">
        <v>138</v>
      </c>
      <c r="T86" s="5" t="s">
        <v>236</v>
      </c>
      <c r="U86" s="5" t="s">
        <v>13</v>
      </c>
      <c r="V86" s="5" t="s">
        <v>12</v>
      </c>
      <c r="W86" s="12" t="b">
        <v>0</v>
      </c>
    </row>
    <row r="87" spans="1:23" ht="14.25" customHeight="1" x14ac:dyDescent="0.3">
      <c r="A87" s="5" t="s">
        <v>135</v>
      </c>
      <c r="B87" s="7" t="s">
        <v>155</v>
      </c>
      <c r="C87" s="7" t="s">
        <v>156</v>
      </c>
      <c r="D87" s="14" t="s">
        <v>298</v>
      </c>
      <c r="E87" s="6" t="s">
        <v>214</v>
      </c>
      <c r="F87" s="7" t="s">
        <v>11</v>
      </c>
      <c r="G87" s="5" t="s">
        <v>200</v>
      </c>
      <c r="H87" s="5" t="s">
        <v>188</v>
      </c>
      <c r="I87" s="5" t="s">
        <v>188</v>
      </c>
      <c r="J87" s="5" t="s">
        <v>188</v>
      </c>
      <c r="K87" s="8" t="s">
        <v>12</v>
      </c>
      <c r="L87" s="8"/>
      <c r="M87" s="6">
        <v>1</v>
      </c>
      <c r="N87" s="5" t="s">
        <v>223</v>
      </c>
      <c r="O87">
        <v>1</v>
      </c>
      <c r="P87" s="5" t="s">
        <v>225</v>
      </c>
      <c r="Q87">
        <v>2</v>
      </c>
      <c r="R87" s="5" t="s">
        <v>187</v>
      </c>
      <c r="S87" s="7" t="s">
        <v>138</v>
      </c>
      <c r="T87" s="5" t="s">
        <v>237</v>
      </c>
      <c r="U87" s="5" t="s">
        <v>13</v>
      </c>
      <c r="V87" s="5" t="s">
        <v>12</v>
      </c>
      <c r="W87" s="12" t="b">
        <v>0</v>
      </c>
    </row>
    <row r="88" spans="1:23" ht="14.25" customHeight="1" x14ac:dyDescent="0.3">
      <c r="A88" s="5" t="s">
        <v>135</v>
      </c>
      <c r="B88" s="7" t="s">
        <v>157</v>
      </c>
      <c r="C88" s="7" t="s">
        <v>158</v>
      </c>
      <c r="D88" s="14" t="s">
        <v>293</v>
      </c>
      <c r="E88" s="6" t="s">
        <v>214</v>
      </c>
      <c r="F88" s="7" t="s">
        <v>11</v>
      </c>
      <c r="G88" s="5" t="s">
        <v>200</v>
      </c>
      <c r="H88" s="5" t="s">
        <v>188</v>
      </c>
      <c r="I88" s="5" t="s">
        <v>188</v>
      </c>
      <c r="J88" s="5" t="s">
        <v>188</v>
      </c>
      <c r="K88" s="8" t="s">
        <v>12</v>
      </c>
      <c r="L88" s="8"/>
      <c r="M88" s="6">
        <v>1</v>
      </c>
      <c r="N88" s="5" t="s">
        <v>228</v>
      </c>
      <c r="O88">
        <v>5</v>
      </c>
      <c r="P88" s="5" t="s">
        <v>231</v>
      </c>
      <c r="Q88">
        <v>2</v>
      </c>
      <c r="R88" s="5" t="s">
        <v>186</v>
      </c>
      <c r="S88" s="7" t="s">
        <v>138</v>
      </c>
      <c r="T88" s="5" t="s">
        <v>241</v>
      </c>
      <c r="U88" s="5" t="s">
        <v>13</v>
      </c>
      <c r="V88" s="5" t="s">
        <v>12</v>
      </c>
      <c r="W88" s="12" t="b">
        <v>1</v>
      </c>
    </row>
    <row r="89" spans="1:23" ht="14.25" customHeight="1" x14ac:dyDescent="0.3">
      <c r="A89" s="5" t="s">
        <v>135</v>
      </c>
      <c r="B89" s="7" t="s">
        <v>159</v>
      </c>
      <c r="C89" s="7" t="s">
        <v>160</v>
      </c>
      <c r="D89" s="14" t="s">
        <v>293</v>
      </c>
      <c r="E89" s="6" t="s">
        <v>214</v>
      </c>
      <c r="F89" s="7" t="s">
        <v>11</v>
      </c>
      <c r="G89" s="5" t="s">
        <v>200</v>
      </c>
      <c r="H89" s="5" t="s">
        <v>188</v>
      </c>
      <c r="I89" s="5" t="s">
        <v>188</v>
      </c>
      <c r="J89" s="5" t="s">
        <v>188</v>
      </c>
      <c r="K89" s="8" t="s">
        <v>12</v>
      </c>
      <c r="L89" s="8"/>
      <c r="M89" s="6">
        <v>1</v>
      </c>
      <c r="N89" s="5" t="s">
        <v>229</v>
      </c>
      <c r="O89">
        <v>5</v>
      </c>
      <c r="P89" s="5" t="s">
        <v>231</v>
      </c>
      <c r="Q89">
        <v>4</v>
      </c>
      <c r="R89" s="5" t="s">
        <v>186</v>
      </c>
      <c r="S89" s="7" t="s">
        <v>138</v>
      </c>
      <c r="T89" s="5" t="s">
        <v>244</v>
      </c>
      <c r="U89" s="5" t="s">
        <v>13</v>
      </c>
      <c r="V89" s="5" t="s">
        <v>12</v>
      </c>
      <c r="W89" s="12" t="b">
        <v>1</v>
      </c>
    </row>
    <row r="90" spans="1:23" ht="14.25" customHeight="1" x14ac:dyDescent="0.3">
      <c r="A90" s="5" t="s">
        <v>135</v>
      </c>
      <c r="B90" s="7" t="s">
        <v>161</v>
      </c>
      <c r="C90" s="7" t="s">
        <v>162</v>
      </c>
      <c r="D90" s="14" t="s">
        <v>292</v>
      </c>
      <c r="E90" s="6" t="s">
        <v>214</v>
      </c>
      <c r="F90" s="7" t="s">
        <v>11</v>
      </c>
      <c r="G90" s="5" t="s">
        <v>200</v>
      </c>
      <c r="H90" s="5" t="s">
        <v>188</v>
      </c>
      <c r="I90" s="5" t="s">
        <v>188</v>
      </c>
      <c r="J90" s="5" t="s">
        <v>188</v>
      </c>
      <c r="K90" s="8" t="s">
        <v>12</v>
      </c>
      <c r="L90" s="8"/>
      <c r="M90" s="6">
        <v>1</v>
      </c>
      <c r="N90" s="5" t="s">
        <v>227</v>
      </c>
      <c r="O90">
        <v>5</v>
      </c>
      <c r="P90" s="5" t="s">
        <v>231</v>
      </c>
      <c r="Q90">
        <v>1</v>
      </c>
      <c r="R90" s="5" t="s">
        <v>186</v>
      </c>
      <c r="S90" s="7" t="s">
        <v>138</v>
      </c>
      <c r="T90" s="5" t="s">
        <v>242</v>
      </c>
      <c r="U90" s="5" t="s">
        <v>13</v>
      </c>
      <c r="V90" s="5" t="s">
        <v>12</v>
      </c>
      <c r="W90" s="12" t="b">
        <v>1</v>
      </c>
    </row>
    <row r="91" spans="1:23" ht="14.25" customHeight="1" x14ac:dyDescent="0.3">
      <c r="A91" s="5" t="s">
        <v>135</v>
      </c>
      <c r="B91" s="7" t="s">
        <v>163</v>
      </c>
      <c r="C91" s="7" t="s">
        <v>164</v>
      </c>
      <c r="D91" s="14" t="s">
        <v>292</v>
      </c>
      <c r="E91" s="6" t="s">
        <v>214</v>
      </c>
      <c r="F91" s="7" t="s">
        <v>11</v>
      </c>
      <c r="G91" s="5" t="s">
        <v>200</v>
      </c>
      <c r="H91" s="5" t="s">
        <v>188</v>
      </c>
      <c r="I91" s="5" t="s">
        <v>188</v>
      </c>
      <c r="J91" s="5" t="s">
        <v>188</v>
      </c>
      <c r="K91" s="8" t="s">
        <v>12</v>
      </c>
      <c r="L91" s="8"/>
      <c r="M91" s="6">
        <v>1</v>
      </c>
      <c r="N91" s="5" t="s">
        <v>230</v>
      </c>
      <c r="O91">
        <v>5</v>
      </c>
      <c r="P91" s="5" t="s">
        <v>231</v>
      </c>
      <c r="Q91">
        <v>3</v>
      </c>
      <c r="R91" s="5" t="s">
        <v>186</v>
      </c>
      <c r="S91" s="7" t="s">
        <v>138</v>
      </c>
      <c r="T91" s="5" t="s">
        <v>243</v>
      </c>
      <c r="U91" s="5" t="s">
        <v>13</v>
      </c>
      <c r="V91" s="5" t="s">
        <v>12</v>
      </c>
      <c r="W91" s="12" t="b">
        <v>1</v>
      </c>
    </row>
    <row r="92" spans="1:23" ht="14.25" customHeight="1" x14ac:dyDescent="0.3">
      <c r="A92" s="5" t="s">
        <v>135</v>
      </c>
      <c r="B92" s="7" t="s">
        <v>165</v>
      </c>
      <c r="C92" s="7" t="s">
        <v>166</v>
      </c>
      <c r="D92" s="14" t="s">
        <v>291</v>
      </c>
      <c r="E92" s="6" t="s">
        <v>214</v>
      </c>
      <c r="F92" s="7" t="s">
        <v>137</v>
      </c>
      <c r="G92" s="5" t="s">
        <v>200</v>
      </c>
      <c r="H92" s="5" t="s">
        <v>188</v>
      </c>
      <c r="I92" s="5" t="s">
        <v>188</v>
      </c>
      <c r="J92" s="5" t="s">
        <v>188</v>
      </c>
      <c r="K92" s="8" t="s">
        <v>12</v>
      </c>
      <c r="L92" s="8"/>
      <c r="M92" s="5">
        <v>16</v>
      </c>
      <c r="N92" s="5" t="s">
        <v>232</v>
      </c>
      <c r="O92">
        <v>12</v>
      </c>
      <c r="P92" s="5" t="s">
        <v>233</v>
      </c>
      <c r="Q92">
        <v>1</v>
      </c>
      <c r="R92" s="5" t="s">
        <v>186</v>
      </c>
      <c r="S92" s="7" t="s">
        <v>138</v>
      </c>
      <c r="T92" s="5" t="s">
        <v>245</v>
      </c>
      <c r="U92" s="5" t="s">
        <v>13</v>
      </c>
      <c r="V92" s="5" t="s">
        <v>12</v>
      </c>
      <c r="W92" s="12" t="b">
        <v>0</v>
      </c>
    </row>
    <row r="93" spans="1:23" ht="14.25" customHeight="1" x14ac:dyDescent="0.3">
      <c r="A93" s="5" t="s">
        <v>135</v>
      </c>
      <c r="B93" s="7" t="s">
        <v>167</v>
      </c>
      <c r="C93" s="7" t="s">
        <v>168</v>
      </c>
      <c r="D93" s="14" t="s">
        <v>297</v>
      </c>
      <c r="E93" s="6" t="s">
        <v>214</v>
      </c>
      <c r="F93" s="7" t="s">
        <v>11</v>
      </c>
      <c r="G93" s="5" t="s">
        <v>200</v>
      </c>
      <c r="H93" s="5" t="s">
        <v>188</v>
      </c>
      <c r="I93" s="5" t="s">
        <v>188</v>
      </c>
      <c r="J93" s="5" t="s">
        <v>188</v>
      </c>
      <c r="K93" s="8" t="s">
        <v>12</v>
      </c>
      <c r="L93" s="8"/>
      <c r="M93" s="6">
        <v>1</v>
      </c>
      <c r="N93" s="5" t="s">
        <v>224</v>
      </c>
      <c r="O93">
        <v>2</v>
      </c>
      <c r="P93" s="5" t="s">
        <v>221</v>
      </c>
      <c r="Q93">
        <v>3</v>
      </c>
      <c r="R93" s="5" t="s">
        <v>187</v>
      </c>
      <c r="S93" s="7" t="s">
        <v>138</v>
      </c>
      <c r="T93" s="5" t="s">
        <v>240</v>
      </c>
      <c r="U93" s="5" t="s">
        <v>13</v>
      </c>
      <c r="V93" s="5" t="s">
        <v>12</v>
      </c>
      <c r="W93" s="12" t="b">
        <v>0</v>
      </c>
    </row>
    <row r="94" spans="1:23" ht="14.25" customHeight="1" x14ac:dyDescent="0.3">
      <c r="A94" s="5" t="s">
        <v>135</v>
      </c>
      <c r="B94" s="5" t="s">
        <v>169</v>
      </c>
      <c r="C94" s="9" t="s">
        <v>266</v>
      </c>
      <c r="D94" s="14" t="s">
        <v>292</v>
      </c>
      <c r="E94" s="6" t="s">
        <v>214</v>
      </c>
      <c r="F94" s="5" t="s">
        <v>137</v>
      </c>
      <c r="G94" s="5" t="s">
        <v>200</v>
      </c>
      <c r="H94" s="5" t="s">
        <v>188</v>
      </c>
      <c r="I94" s="5" t="s">
        <v>188</v>
      </c>
      <c r="J94" s="5" t="s">
        <v>188</v>
      </c>
      <c r="K94" s="8" t="s">
        <v>12</v>
      </c>
      <c r="L94" s="8"/>
      <c r="M94" s="5">
        <v>16</v>
      </c>
      <c r="N94" s="5" t="s">
        <v>205</v>
      </c>
      <c r="O94">
        <v>11</v>
      </c>
      <c r="P94" s="5" t="s">
        <v>226</v>
      </c>
      <c r="Q94">
        <v>1</v>
      </c>
      <c r="R94" s="5" t="s">
        <v>187</v>
      </c>
      <c r="S94" s="7" t="s">
        <v>138</v>
      </c>
      <c r="T94" s="5" t="s">
        <v>246</v>
      </c>
      <c r="U94" s="5" t="s">
        <v>13</v>
      </c>
      <c r="V94" s="5" t="s">
        <v>12</v>
      </c>
      <c r="W94" s="12" t="b">
        <v>0</v>
      </c>
    </row>
    <row r="95" spans="1:23" ht="14.25" customHeight="1" x14ac:dyDescent="0.3">
      <c r="A95" s="5" t="s">
        <v>135</v>
      </c>
      <c r="B95" s="5" t="s">
        <v>170</v>
      </c>
      <c r="C95" s="9" t="s">
        <v>267</v>
      </c>
      <c r="D95" s="14" t="s">
        <v>292</v>
      </c>
      <c r="E95" s="6" t="s">
        <v>214</v>
      </c>
      <c r="F95" s="5" t="s">
        <v>137</v>
      </c>
      <c r="G95" s="5" t="s">
        <v>200</v>
      </c>
      <c r="H95" s="5" t="s">
        <v>188</v>
      </c>
      <c r="I95" s="5" t="s">
        <v>188</v>
      </c>
      <c r="J95" s="5" t="s">
        <v>188</v>
      </c>
      <c r="K95" s="8" t="s">
        <v>12</v>
      </c>
      <c r="L95" s="8"/>
      <c r="M95" s="5">
        <v>16</v>
      </c>
      <c r="N95" s="5" t="s">
        <v>206</v>
      </c>
      <c r="O95">
        <v>11</v>
      </c>
      <c r="P95" s="5" t="s">
        <v>226</v>
      </c>
      <c r="Q95">
        <v>2</v>
      </c>
      <c r="R95" s="5" t="s">
        <v>187</v>
      </c>
      <c r="S95" s="7" t="s">
        <v>138</v>
      </c>
      <c r="T95" s="5" t="s">
        <v>247</v>
      </c>
      <c r="U95" s="5" t="s">
        <v>13</v>
      </c>
      <c r="V95" s="5" t="s">
        <v>12</v>
      </c>
      <c r="W95" s="12" t="b">
        <v>0</v>
      </c>
    </row>
    <row r="96" spans="1:23" ht="14.25" customHeight="1" x14ac:dyDescent="0.3">
      <c r="A96" s="5" t="s">
        <v>135</v>
      </c>
      <c r="B96" s="5" t="s">
        <v>171</v>
      </c>
      <c r="C96" s="9" t="s">
        <v>268</v>
      </c>
      <c r="D96" s="14" t="s">
        <v>291</v>
      </c>
      <c r="E96" s="6" t="s">
        <v>214</v>
      </c>
      <c r="F96" s="5" t="s">
        <v>137</v>
      </c>
      <c r="G96" s="5" t="s">
        <v>200</v>
      </c>
      <c r="H96" s="5" t="s">
        <v>188</v>
      </c>
      <c r="I96" s="5" t="s">
        <v>188</v>
      </c>
      <c r="J96" s="5" t="s">
        <v>188</v>
      </c>
      <c r="K96" s="8" t="s">
        <v>12</v>
      </c>
      <c r="L96" s="8"/>
      <c r="M96" s="5">
        <v>16</v>
      </c>
      <c r="N96" s="5" t="s">
        <v>207</v>
      </c>
      <c r="O96">
        <v>11</v>
      </c>
      <c r="P96" s="5" t="s">
        <v>226</v>
      </c>
      <c r="Q96">
        <v>3</v>
      </c>
      <c r="R96" s="5" t="s">
        <v>187</v>
      </c>
      <c r="S96" s="7" t="s">
        <v>138</v>
      </c>
      <c r="T96" s="5" t="s">
        <v>248</v>
      </c>
      <c r="U96" s="5" t="s">
        <v>13</v>
      </c>
      <c r="V96" s="5" t="s">
        <v>12</v>
      </c>
      <c r="W96" s="12" t="b">
        <v>0</v>
      </c>
    </row>
    <row r="97" spans="1:23" ht="14.25" customHeight="1" x14ac:dyDescent="0.3">
      <c r="A97" s="5" t="s">
        <v>135</v>
      </c>
      <c r="B97" s="5" t="s">
        <v>172</v>
      </c>
      <c r="C97" s="5" t="s">
        <v>281</v>
      </c>
      <c r="D97" s="5"/>
      <c r="E97" s="6" t="s">
        <v>215</v>
      </c>
      <c r="F97" s="5" t="s">
        <v>137</v>
      </c>
      <c r="G97" s="5" t="s">
        <v>200</v>
      </c>
      <c r="H97" s="5" t="s">
        <v>188</v>
      </c>
      <c r="I97" s="5" t="s">
        <v>188</v>
      </c>
      <c r="J97" s="5" t="s">
        <v>188</v>
      </c>
      <c r="K97" s="8" t="s">
        <v>12</v>
      </c>
      <c r="L97" s="8"/>
      <c r="M97" s="5">
        <v>16</v>
      </c>
      <c r="N97" s="5" t="s">
        <v>208</v>
      </c>
      <c r="O97">
        <v>11</v>
      </c>
      <c r="P97" s="5" t="s">
        <v>226</v>
      </c>
      <c r="Q97">
        <v>4</v>
      </c>
      <c r="R97" s="5" t="s">
        <v>187</v>
      </c>
      <c r="S97" s="7" t="s">
        <v>138</v>
      </c>
      <c r="T97" s="5" t="s">
        <v>249</v>
      </c>
      <c r="U97" s="5" t="s">
        <v>13</v>
      </c>
      <c r="V97" s="5" t="s">
        <v>12</v>
      </c>
      <c r="W97" s="12" t="b">
        <v>0</v>
      </c>
    </row>
    <row r="98" spans="1:23" ht="14.25" customHeight="1" x14ac:dyDescent="0.3">
      <c r="A98" s="9" t="s">
        <v>39</v>
      </c>
      <c r="B98" s="9" t="s">
        <v>264</v>
      </c>
      <c r="C98" s="9" t="s">
        <v>273</v>
      </c>
      <c r="D98" s="14" t="s">
        <v>292</v>
      </c>
      <c r="E98" s="6" t="s">
        <v>214</v>
      </c>
      <c r="F98" s="9" t="s">
        <v>11</v>
      </c>
      <c r="G98" s="9" t="s">
        <v>194</v>
      </c>
      <c r="H98" s="5" t="str">
        <f t="shared" ref="H98:H104" si="17">_xlfn.CONCAT("0x",DEC2HEX(I98))</f>
        <v>0x3039</v>
      </c>
      <c r="I98" s="7">
        <f>I76+1</f>
        <v>12345</v>
      </c>
      <c r="J98" s="6" t="str">
        <f t="shared" ref="J98:J104" si="18">_xlfn.CONCAT(0,I98+1)</f>
        <v>012346</v>
      </c>
      <c r="K98" s="9" t="s">
        <v>258</v>
      </c>
      <c r="L98" s="6" t="s">
        <v>314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12</v>
      </c>
      <c r="P98" s="9" t="s">
        <v>12</v>
      </c>
      <c r="Q98" t="s">
        <v>12</v>
      </c>
      <c r="R98" s="9" t="s">
        <v>12</v>
      </c>
      <c r="S98" t="s">
        <v>13</v>
      </c>
      <c r="U98" t="s">
        <v>138</v>
      </c>
      <c r="V98" s="9" t="s">
        <v>12</v>
      </c>
      <c r="W98" s="12" t="b">
        <v>1</v>
      </c>
    </row>
    <row r="99" spans="1:23" ht="14.25" customHeight="1" x14ac:dyDescent="0.3">
      <c r="A99" s="9" t="s">
        <v>39</v>
      </c>
      <c r="B99" s="9" t="s">
        <v>265</v>
      </c>
      <c r="C99" s="9" t="s">
        <v>274</v>
      </c>
      <c r="D99" s="14" t="s">
        <v>292</v>
      </c>
      <c r="E99" s="6" t="s">
        <v>214</v>
      </c>
      <c r="F99" s="9" t="s">
        <v>11</v>
      </c>
      <c r="G99" s="9" t="s">
        <v>194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258</v>
      </c>
      <c r="L99" s="6" t="s">
        <v>314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12</v>
      </c>
      <c r="P99" s="9" t="s">
        <v>12</v>
      </c>
      <c r="Q99" t="s">
        <v>12</v>
      </c>
      <c r="R99" s="9" t="s">
        <v>12</v>
      </c>
      <c r="S99" t="s">
        <v>13</v>
      </c>
      <c r="U99" t="s">
        <v>138</v>
      </c>
      <c r="V99" s="9" t="s">
        <v>12</v>
      </c>
      <c r="W99" s="12" t="b">
        <v>1</v>
      </c>
    </row>
    <row r="100" spans="1:23" ht="14.25" customHeight="1" x14ac:dyDescent="0.3">
      <c r="A100" s="9" t="s">
        <v>39</v>
      </c>
      <c r="B100" s="9" t="s">
        <v>270</v>
      </c>
      <c r="C100" s="9" t="s">
        <v>271</v>
      </c>
      <c r="D100" s="14" t="s">
        <v>292</v>
      </c>
      <c r="E100" s="6" t="s">
        <v>214</v>
      </c>
      <c r="F100" s="9" t="s">
        <v>11</v>
      </c>
      <c r="G100" s="9" t="s">
        <v>194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258</v>
      </c>
      <c r="L100" s="6" t="s">
        <v>314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12</v>
      </c>
      <c r="P100" s="9" t="s">
        <v>12</v>
      </c>
      <c r="Q100" t="s">
        <v>12</v>
      </c>
      <c r="R100" s="9" t="s">
        <v>272</v>
      </c>
      <c r="S100" t="s">
        <v>13</v>
      </c>
      <c r="U100" t="s">
        <v>138</v>
      </c>
      <c r="V100" s="9" t="s">
        <v>12</v>
      </c>
      <c r="W100" s="12" t="b">
        <v>1</v>
      </c>
    </row>
    <row r="101" spans="1:23" ht="14.25" customHeight="1" x14ac:dyDescent="0.3">
      <c r="A101" s="9" t="s">
        <v>39</v>
      </c>
      <c r="B101" s="9" t="s">
        <v>275</v>
      </c>
      <c r="C101" s="9" t="s">
        <v>276</v>
      </c>
      <c r="D101" s="14" t="s">
        <v>293</v>
      </c>
      <c r="E101" s="6" t="s">
        <v>214</v>
      </c>
      <c r="F101" s="9" t="s">
        <v>11</v>
      </c>
      <c r="G101" s="9" t="s">
        <v>194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258</v>
      </c>
      <c r="L101" s="6" t="s">
        <v>314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12</v>
      </c>
      <c r="P101" t="s">
        <v>12</v>
      </c>
      <c r="Q101" t="s">
        <v>12</v>
      </c>
      <c r="R101" s="9" t="s">
        <v>12</v>
      </c>
      <c r="S101" t="s">
        <v>13</v>
      </c>
      <c r="U101" t="s">
        <v>138</v>
      </c>
      <c r="V101" s="9" t="s">
        <v>12</v>
      </c>
      <c r="W101" s="12" t="b">
        <v>1</v>
      </c>
    </row>
    <row r="102" spans="1:23" ht="14.25" customHeight="1" x14ac:dyDescent="0.3">
      <c r="A102" s="9" t="s">
        <v>39</v>
      </c>
      <c r="B102" s="9" t="s">
        <v>277</v>
      </c>
      <c r="C102" s="9" t="s">
        <v>278</v>
      </c>
      <c r="D102" s="14" t="s">
        <v>293</v>
      </c>
      <c r="E102" s="6" t="s">
        <v>214</v>
      </c>
      <c r="F102" s="9" t="s">
        <v>11</v>
      </c>
      <c r="G102" s="9" t="s">
        <v>194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258</v>
      </c>
      <c r="L102" s="6" t="s">
        <v>314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12</v>
      </c>
      <c r="P102" t="s">
        <v>12</v>
      </c>
      <c r="Q102" t="s">
        <v>12</v>
      </c>
      <c r="R102" t="s">
        <v>12</v>
      </c>
      <c r="S102" t="s">
        <v>13</v>
      </c>
      <c r="U102" t="s">
        <v>138</v>
      </c>
      <c r="V102" s="9" t="s">
        <v>12</v>
      </c>
      <c r="W102" s="12" t="b">
        <v>1</v>
      </c>
    </row>
    <row r="103" spans="1:23" ht="14.25" customHeight="1" x14ac:dyDescent="0.3">
      <c r="A103" s="9" t="s">
        <v>39</v>
      </c>
      <c r="B103" s="9" t="s">
        <v>284</v>
      </c>
      <c r="C103" s="9" t="s">
        <v>34</v>
      </c>
      <c r="D103" s="14" t="s">
        <v>292</v>
      </c>
      <c r="E103" s="6" t="s">
        <v>214</v>
      </c>
      <c r="F103" s="9" t="s">
        <v>11</v>
      </c>
      <c r="G103" s="9" t="s">
        <v>194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258</v>
      </c>
      <c r="L103" s="6" t="s">
        <v>314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12</v>
      </c>
      <c r="P103" t="s">
        <v>12</v>
      </c>
      <c r="Q103" t="s">
        <v>12</v>
      </c>
      <c r="R103" t="s">
        <v>12</v>
      </c>
      <c r="S103" t="s">
        <v>13</v>
      </c>
      <c r="U103" t="s">
        <v>138</v>
      </c>
      <c r="V103" s="9"/>
      <c r="W103" s="12" t="b">
        <v>1</v>
      </c>
    </row>
    <row r="104" spans="1:23" ht="14.25" customHeight="1" x14ac:dyDescent="0.3">
      <c r="A104" s="9" t="s">
        <v>39</v>
      </c>
      <c r="B104" s="9" t="s">
        <v>287</v>
      </c>
      <c r="C104" s="9" t="s">
        <v>288</v>
      </c>
      <c r="D104" s="14" t="s">
        <v>290</v>
      </c>
      <c r="E104" s="6" t="s">
        <v>214</v>
      </c>
      <c r="F104" s="9" t="s">
        <v>11</v>
      </c>
      <c r="G104" s="9" t="s">
        <v>194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258</v>
      </c>
      <c r="L104" s="6" t="s">
        <v>314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12</v>
      </c>
      <c r="P104" t="s">
        <v>12</v>
      </c>
      <c r="Q104" t="s">
        <v>12</v>
      </c>
      <c r="R104" t="s">
        <v>12</v>
      </c>
      <c r="S104" t="s">
        <v>13</v>
      </c>
      <c r="U104" t="s">
        <v>138</v>
      </c>
      <c r="V104" s="9"/>
      <c r="W104" s="12" t="b">
        <v>0</v>
      </c>
    </row>
    <row r="105" spans="1:23" ht="14.25" customHeight="1" x14ac:dyDescent="0.3"/>
    <row r="106" spans="1:23" ht="14.25" customHeight="1" x14ac:dyDescent="0.3"/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0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workbookViewId="0">
      <selection activeCell="G10" sqref="G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301</v>
      </c>
      <c r="K1" t="str">
        <f>A1</f>
        <v>GP-Pro EX</v>
      </c>
    </row>
    <row r="2" spans="1:11" x14ac:dyDescent="0.3">
      <c r="A2" t="s">
        <v>302</v>
      </c>
      <c r="B2" t="s">
        <v>304</v>
      </c>
      <c r="K2" t="str">
        <f>_xlfn.CONCAT(A2,",",B2)</f>
        <v>File Type,SymbolVariable</v>
      </c>
    </row>
    <row r="3" spans="1:11" x14ac:dyDescent="0.3">
      <c r="A3" t="s">
        <v>303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305</v>
      </c>
      <c r="C5" t="s">
        <v>306</v>
      </c>
      <c r="D5" t="s">
        <v>307</v>
      </c>
      <c r="E5" t="s">
        <v>308</v>
      </c>
      <c r="F5" t="s">
        <v>309</v>
      </c>
      <c r="G5" t="s">
        <v>310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 Start</v>
      </c>
      <c r="C6" t="str">
        <f>'Point List'!L3</f>
        <v>BitAddress</v>
      </c>
      <c r="D6" t="s">
        <v>313</v>
      </c>
      <c r="E6" t="str">
        <f>'Point List'!J3</f>
        <v>012289</v>
      </c>
      <c r="K6" t="str">
        <f>_xlfn.CONCAT(A6,",",B6,",",C6,",",D6,",",E6,",",F6,",",G6)</f>
        <v>System Start,,BitAddress,PLC1,012289,,</v>
      </c>
    </row>
    <row r="7" spans="1:11" x14ac:dyDescent="0.3">
      <c r="A7" t="str">
        <f>'Point List'!C4</f>
        <v>System Shutdown</v>
      </c>
      <c r="C7" t="str">
        <f>'Point List'!L4</f>
        <v>BitAddress</v>
      </c>
      <c r="D7" t="s">
        <v>313</v>
      </c>
      <c r="E7" t="str">
        <f>'Point List'!J4</f>
        <v>012290</v>
      </c>
      <c r="K7" t="str">
        <f t="shared" ref="K7:K70" si="0">_xlfn.CONCAT(A7,",",B7,",",C7,",",D7,",",E7,",",F7,",",G7)</f>
        <v>System Shutdown,,BitAddress,PLC1,012290,,</v>
      </c>
    </row>
    <row r="8" spans="1:11" x14ac:dyDescent="0.3">
      <c r="A8" t="str">
        <f>'Point List'!C5</f>
        <v>Simplex Mode</v>
      </c>
      <c r="C8" t="str">
        <f>'Point List'!L5</f>
        <v>BitAddress</v>
      </c>
      <c r="D8" t="s">
        <v>313</v>
      </c>
      <c r="E8" t="str">
        <f>'Point List'!J5</f>
        <v>012291</v>
      </c>
      <c r="K8" t="str">
        <f t="shared" si="0"/>
        <v>Simplex Mode,,BitAddress,PLC1,012291,,</v>
      </c>
    </row>
    <row r="9" spans="1:11" x14ac:dyDescent="0.3">
      <c r="A9" t="str">
        <f>'Point List'!C6</f>
        <v>Manual Turnover</v>
      </c>
      <c r="C9" t="str">
        <f>'Point List'!L6</f>
        <v>BitAddress</v>
      </c>
      <c r="D9" t="s">
        <v>313</v>
      </c>
      <c r="E9" t="str">
        <f>'Point List'!J6</f>
        <v>012292</v>
      </c>
      <c r="K9" t="str">
        <f t="shared" si="0"/>
        <v>Manual Turnover,,BitAddress,PLC1,012292,,</v>
      </c>
    </row>
    <row r="10" spans="1:11" x14ac:dyDescent="0.3">
      <c r="A10" t="str">
        <f>'Point List'!C7</f>
        <v>Enable Manual Valve Control</v>
      </c>
      <c r="C10" t="str">
        <f>'Point List'!L7</f>
        <v>BitAddress</v>
      </c>
      <c r="D10" t="s">
        <v>313</v>
      </c>
      <c r="E10" t="str">
        <f>'Point List'!J7</f>
        <v>012293</v>
      </c>
      <c r="K10" t="str">
        <f t="shared" si="0"/>
        <v>Enable Manual Valve Control,,BitAddress,PLC1,012293,,</v>
      </c>
    </row>
    <row r="11" spans="1:11" x14ac:dyDescent="0.3">
      <c r="A11" t="str">
        <f>'Point List'!C8</f>
        <v>Enable Manual Fan Control</v>
      </c>
      <c r="C11" t="str">
        <f>'Point List'!L8</f>
        <v>BitAddress</v>
      </c>
      <c r="D11" t="s">
        <v>313</v>
      </c>
      <c r="E11" t="str">
        <f>'Point List'!J8</f>
        <v>012294</v>
      </c>
      <c r="K11" t="str">
        <f t="shared" si="0"/>
        <v>Enable Manual Fan 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313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 Fan 1 On/Off</v>
      </c>
      <c r="C13" t="str">
        <f>'Point List'!L10</f>
        <v>BitAddress</v>
      </c>
      <c r="D13" t="s">
        <v>313</v>
      </c>
      <c r="E13" t="str">
        <f>'Point List'!J10</f>
        <v>012296</v>
      </c>
      <c r="K13" t="str">
        <f t="shared" si="0"/>
        <v>Force Fan 1 On/Off,,BitAddress,PLC1,012296,,</v>
      </c>
    </row>
    <row r="14" spans="1:11" x14ac:dyDescent="0.3">
      <c r="A14" t="str">
        <f>'Point List'!C11</f>
        <v>Force Fan 2 On/Off</v>
      </c>
      <c r="C14" t="str">
        <f>'Point List'!L11</f>
        <v>BitAddress</v>
      </c>
      <c r="D14" t="s">
        <v>313</v>
      </c>
      <c r="E14" t="str">
        <f>'Point List'!J11</f>
        <v>012297</v>
      </c>
      <c r="K14" t="str">
        <f t="shared" si="0"/>
        <v>Force Fan 2 On/Off,,BitAddress,PLC1,012297,,</v>
      </c>
    </row>
    <row r="15" spans="1:11" x14ac:dyDescent="0.3">
      <c r="A15" t="str">
        <f>'Point List'!C12</f>
        <v>Primary Hydraulic Fault ACK</v>
      </c>
      <c r="C15" t="str">
        <f>'Point List'!L12</f>
        <v>BitAddress</v>
      </c>
      <c r="D15" t="s">
        <v>313</v>
      </c>
      <c r="E15" t="str">
        <f>'Point List'!J12</f>
        <v>012298</v>
      </c>
      <c r="K15" t="str">
        <f t="shared" si="0"/>
        <v>Primary Hydraulic Fault ACK,,BitAddress,PLC1,012298,,</v>
      </c>
    </row>
    <row r="16" spans="1:11" x14ac:dyDescent="0.3">
      <c r="A16" t="str">
        <f>'Point List'!C13</f>
        <v>Secondary Hydraulic Fault ACK</v>
      </c>
      <c r="C16" t="str">
        <f>'Point List'!L13</f>
        <v>BitAddress</v>
      </c>
      <c r="D16" t="s">
        <v>313</v>
      </c>
      <c r="E16" t="str">
        <f>'Point List'!J13</f>
        <v>012299</v>
      </c>
      <c r="K16" t="str">
        <f t="shared" si="0"/>
        <v>Secondary Hydraulic Fault ACK,,BitAddress,PLC1,012299,,</v>
      </c>
    </row>
    <row r="17" spans="1:11" x14ac:dyDescent="0.3">
      <c r="A17" t="str">
        <f>'Point List'!C14</f>
        <v>Enable Pump Cycling</v>
      </c>
      <c r="C17" t="str">
        <f>'Point List'!L14</f>
        <v>BitAddress</v>
      </c>
      <c r="D17" t="s">
        <v>313</v>
      </c>
      <c r="E17" t="str">
        <f>'Point List'!J14</f>
        <v>012300</v>
      </c>
      <c r="K17" t="str">
        <f t="shared" si="0"/>
        <v>Enable Pump Cycling,,BitAddress,PLC1,012300,,</v>
      </c>
    </row>
    <row r="18" spans="1:11" x14ac:dyDescent="0.3">
      <c r="A18" t="str">
        <f>'Point List'!C15</f>
        <v>Reset Pump Differential Signal</v>
      </c>
      <c r="C18" t="str">
        <f>'Point List'!L15</f>
        <v>BitAddress</v>
      </c>
      <c r="D18" t="s">
        <v>313</v>
      </c>
      <c r="E18" t="str">
        <f>'Point List'!J15</f>
        <v>012301</v>
      </c>
      <c r="K18" t="str">
        <f t="shared" si="0"/>
        <v>Reset Pump Differential Signal,,BitAddress,PLC1,012301,,</v>
      </c>
    </row>
    <row r="19" spans="1:11" x14ac:dyDescent="0.3">
      <c r="A19" t="str">
        <f>'Point List'!C16</f>
        <v>Fault ACK</v>
      </c>
      <c r="C19" t="str">
        <f>'Point List'!L16</f>
        <v>BitAddress</v>
      </c>
      <c r="D19" t="s">
        <v>313</v>
      </c>
      <c r="E19" t="str">
        <f>'Point List'!J16</f>
        <v>012302</v>
      </c>
      <c r="K19" t="str">
        <f t="shared" si="0"/>
        <v>Fault 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313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313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 On</v>
      </c>
      <c r="C22" t="str">
        <f>'Point List'!L19</f>
        <v>BitAddress</v>
      </c>
      <c r="D22" t="s">
        <v>313</v>
      </c>
      <c r="E22" t="str">
        <f>'Point List'!J19</f>
        <v>012305</v>
      </c>
      <c r="K22" t="str">
        <f t="shared" si="0"/>
        <v>System On,,BitAddress,PLC1,012305,,</v>
      </c>
    </row>
    <row r="23" spans="1:11" x14ac:dyDescent="0.3">
      <c r="A23" t="str">
        <f>'Point List'!C20</f>
        <v>System Shutting Down</v>
      </c>
      <c r="C23" t="str">
        <f>'Point List'!L20</f>
        <v>BitAddress</v>
      </c>
      <c r="D23" t="s">
        <v>313</v>
      </c>
      <c r="E23" t="str">
        <f>'Point List'!J20</f>
        <v>012306</v>
      </c>
      <c r="K23" t="str">
        <f t="shared" si="0"/>
        <v>System Shutting Down,,BitAddress,PLC1,012306,,</v>
      </c>
    </row>
    <row r="24" spans="1:11" x14ac:dyDescent="0.3">
      <c r="A24" t="str">
        <f>'Point List'!C21</f>
        <v>System Initializing</v>
      </c>
      <c r="C24" t="str">
        <f>'Point List'!L21</f>
        <v>BitAddress</v>
      </c>
      <c r="D24" t="s">
        <v>313</v>
      </c>
      <c r="E24" t="str">
        <f>'Point List'!J21</f>
        <v>012307</v>
      </c>
      <c r="K24" t="str">
        <f t="shared" si="0"/>
        <v>System Initializing,,BitAddress,PLC1,012307,,</v>
      </c>
    </row>
    <row r="25" spans="1:11" x14ac:dyDescent="0.3">
      <c r="A25" t="str">
        <f>'Point List'!C22</f>
        <v>System Calibrating</v>
      </c>
      <c r="C25" t="str">
        <f>'Point List'!L22</f>
        <v>BitAddress</v>
      </c>
      <c r="D25" t="s">
        <v>313</v>
      </c>
      <c r="E25" t="str">
        <f>'Point List'!J22</f>
        <v>012308</v>
      </c>
      <c r="K25" t="str">
        <f t="shared" si="0"/>
        <v>System Calibrating,,BitAddress,PLC1,012308,,</v>
      </c>
    </row>
    <row r="26" spans="1:11" x14ac:dyDescent="0.3">
      <c r="A26" t="str">
        <f>'Point List'!C23</f>
        <v>Measured Pump Power</v>
      </c>
      <c r="C26" t="str">
        <f>'Point List'!L23</f>
        <v>WordAddress</v>
      </c>
      <c r="D26" t="s">
        <v>313</v>
      </c>
      <c r="E26" t="str">
        <f>'Point List'!J23</f>
        <v>412557</v>
      </c>
      <c r="K26" t="str">
        <f t="shared" si="0"/>
        <v>Measured Pump Power,,WordAddress,PLC1,412557,,</v>
      </c>
    </row>
    <row r="27" spans="1:11" x14ac:dyDescent="0.3">
      <c r="A27" t="str">
        <f>'Point List'!C24</f>
        <v>Measured Inlet Coolant Temperature</v>
      </c>
      <c r="C27" t="str">
        <f>'Point List'!L24</f>
        <v>WordAddress</v>
      </c>
      <c r="D27" t="s">
        <v>313</v>
      </c>
      <c r="E27" t="str">
        <f>'Point List'!J24</f>
        <v>412559</v>
      </c>
      <c r="K27" t="str">
        <f t="shared" si="0"/>
        <v>Measured Inlet Coolant Temperature,,WordAddress,PLC1,412559,,</v>
      </c>
    </row>
    <row r="28" spans="1:11" x14ac:dyDescent="0.3">
      <c r="A28" t="str">
        <f>'Point List'!C25</f>
        <v>Measured Conductivity</v>
      </c>
      <c r="C28" t="str">
        <f>'Point List'!L25</f>
        <v>WordAddress</v>
      </c>
      <c r="D28" t="s">
        <v>313</v>
      </c>
      <c r="E28" t="str">
        <f>'Point List'!J25</f>
        <v>412561</v>
      </c>
      <c r="K28" t="str">
        <f t="shared" si="0"/>
        <v>Measured Conductivity,,WordAddress,PLC1,412561,,</v>
      </c>
    </row>
    <row r="29" spans="1:11" x14ac:dyDescent="0.3">
      <c r="A29" t="str">
        <f>'Point List'!C26</f>
        <v>Measured Flow</v>
      </c>
      <c r="C29" t="str">
        <f>'Point List'!L26</f>
        <v>WordAddress</v>
      </c>
      <c r="D29" t="s">
        <v>313</v>
      </c>
      <c r="E29" t="str">
        <f>'Point List'!J26</f>
        <v>412563</v>
      </c>
      <c r="K29" t="str">
        <f t="shared" si="0"/>
        <v>Measured Flow,,WordAddress,PLC1,412563,,</v>
      </c>
    </row>
    <row r="30" spans="1:11" x14ac:dyDescent="0.3">
      <c r="A30" t="str">
        <f>'Point List'!C27</f>
        <v>Valve Open Percentage</v>
      </c>
      <c r="C30" t="str">
        <f>'Point List'!L27</f>
        <v>WordAddress</v>
      </c>
      <c r="D30" t="s">
        <v>313</v>
      </c>
      <c r="E30" t="str">
        <f>'Point List'!J27</f>
        <v>412565</v>
      </c>
      <c r="K30" t="str">
        <f t="shared" si="0"/>
        <v>Valve Open Percentage,,WordAddress,PLC1,412565,,</v>
      </c>
    </row>
    <row r="31" spans="1:11" x14ac:dyDescent="0.3">
      <c r="A31" t="str">
        <f>'Point List'!C28</f>
        <v>Real RTD 1 Signal</v>
      </c>
      <c r="C31" t="str">
        <f>'Point List'!L28</f>
        <v>WordAddress</v>
      </c>
      <c r="D31" t="s">
        <v>313</v>
      </c>
      <c r="E31" t="str">
        <f>'Point List'!J28</f>
        <v>412567</v>
      </c>
      <c r="K31" t="str">
        <f t="shared" si="0"/>
        <v>Real RTD 1 Signal,,WordAddress,PLC1,412567,,</v>
      </c>
    </row>
    <row r="32" spans="1:11" x14ac:dyDescent="0.3">
      <c r="A32" t="str">
        <f>'Point List'!C29</f>
        <v>Real RTD 2 Signal</v>
      </c>
      <c r="C32" t="str">
        <f>'Point List'!L29</f>
        <v>WordAddress</v>
      </c>
      <c r="D32" t="s">
        <v>313</v>
      </c>
      <c r="E32" t="str">
        <f>'Point List'!J29</f>
        <v>412569</v>
      </c>
      <c r="K32" t="str">
        <f t="shared" si="0"/>
        <v>Real RTD 2 Signal,,WordAddress,PLC1,412569,,</v>
      </c>
    </row>
    <row r="33" spans="1:11" x14ac:dyDescent="0.3">
      <c r="A33" t="str">
        <f>'Point List'!C30</f>
        <v>Real RTD 3 Signal</v>
      </c>
      <c r="C33" t="str">
        <f>'Point List'!L30</f>
        <v>WordAddress</v>
      </c>
      <c r="D33" t="s">
        <v>313</v>
      </c>
      <c r="E33" t="str">
        <f>'Point List'!J30</f>
        <v>412571</v>
      </c>
      <c r="K33" t="str">
        <f t="shared" si="0"/>
        <v>Real RTD 3 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313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 xml:space="preserve">Measured Valve Position </v>
      </c>
      <c r="C35" t="str">
        <f>'Point List'!L32</f>
        <v>WordAddress</v>
      </c>
      <c r="D35" t="s">
        <v>313</v>
      </c>
      <c r="E35" t="str">
        <f>'Point List'!J32</f>
        <v>412575</v>
      </c>
      <c r="K35" t="str">
        <f t="shared" si="0"/>
        <v>Measured Valve Position ,,WordAddress,PLC1,412575,,</v>
      </c>
    </row>
    <row r="36" spans="1:11" x14ac:dyDescent="0.3">
      <c r="A36" t="str">
        <f>'Point List'!C33</f>
        <v>Debounced Water Level Low Signal</v>
      </c>
      <c r="C36" t="str">
        <f>'Point List'!L33</f>
        <v>WordAddress</v>
      </c>
      <c r="D36" t="s">
        <v>313</v>
      </c>
      <c r="E36" t="str">
        <f>'Point List'!J33</f>
        <v>012309</v>
      </c>
      <c r="K36" t="str">
        <f t="shared" si="0"/>
        <v>Debounced Water Level Low Signal,,WordAddress,PLC1,012309,,</v>
      </c>
    </row>
    <row r="37" spans="1:11" x14ac:dyDescent="0.3">
      <c r="A37" t="str">
        <f>'Point List'!C34</f>
        <v>Debounced Water Level Low Low Signal</v>
      </c>
      <c r="C37">
        <f>'Point List'!L34</f>
        <v>0</v>
      </c>
      <c r="D37" t="s">
        <v>313</v>
      </c>
      <c r="E37" t="str">
        <f>'Point List'!J34</f>
        <v>012310</v>
      </c>
      <c r="K37" t="str">
        <f t="shared" si="0"/>
        <v>Debounced Water Level Low Low Signal,,0,PLC1,012310,,</v>
      </c>
    </row>
    <row r="38" spans="1:11" x14ac:dyDescent="0.3">
      <c r="A38" t="str">
        <f>'Point List'!C35</f>
        <v>Debounced Pressure Signal</v>
      </c>
      <c r="C38">
        <f>'Point List'!L35</f>
        <v>0</v>
      </c>
      <c r="D38" t="s">
        <v>313</v>
      </c>
      <c r="E38" t="str">
        <f>'Point List'!J35</f>
        <v>012311</v>
      </c>
      <c r="K38" t="str">
        <f t="shared" si="0"/>
        <v>Debounced Pressure Signal,,0,PLC1,012311,,</v>
      </c>
    </row>
    <row r="39" spans="1:11" x14ac:dyDescent="0.3">
      <c r="A39" t="str">
        <f>'Point List'!C36</f>
        <v>Debounced Conductivity Alarm Signal</v>
      </c>
      <c r="C39">
        <f>'Point List'!L36</f>
        <v>0</v>
      </c>
      <c r="D39" t="s">
        <v>313</v>
      </c>
      <c r="E39" t="str">
        <f>'Point List'!J36</f>
        <v>012312</v>
      </c>
      <c r="K39" t="str">
        <f t="shared" si="0"/>
        <v>Debounced Conductivity Alarm Signal,,0,PLC1,012312,,</v>
      </c>
    </row>
    <row r="40" spans="1:11" x14ac:dyDescent="0.3">
      <c r="A40" t="str">
        <f>'Point List'!C37</f>
        <v>Debounced Conductivity Fault Signal</v>
      </c>
      <c r="C40">
        <f>'Point List'!L37</f>
        <v>0</v>
      </c>
      <c r="D40" t="s">
        <v>313</v>
      </c>
      <c r="E40" t="str">
        <f>'Point List'!J37</f>
        <v>012313</v>
      </c>
      <c r="K40" t="str">
        <f t="shared" si="0"/>
        <v>Debounced Conductivity Fault Signal,,0,PLC1,012313,,</v>
      </c>
    </row>
    <row r="41" spans="1:11" x14ac:dyDescent="0.3">
      <c r="A41" t="str">
        <f>'Point List'!C38</f>
        <v>Output Water Level Low Signal</v>
      </c>
      <c r="C41" t="str">
        <f>'Point List'!L38</f>
        <v>BitAddress</v>
      </c>
      <c r="D41" t="s">
        <v>313</v>
      </c>
      <c r="E41" t="str">
        <f>'Point List'!J38</f>
        <v>012314</v>
      </c>
      <c r="K41" t="str">
        <f t="shared" si="0"/>
        <v>Output Water Level Low Signal,,BitAddress,PLC1,012314,,</v>
      </c>
    </row>
    <row r="42" spans="1:11" x14ac:dyDescent="0.3">
      <c r="A42" t="str">
        <f>'Point List'!C39</f>
        <v>Output Water Level Low Low Signal</v>
      </c>
      <c r="C42" t="str">
        <f>'Point List'!L39</f>
        <v>BitAddress</v>
      </c>
      <c r="D42" t="s">
        <v>313</v>
      </c>
      <c r="E42" t="str">
        <f>'Point List'!J39</f>
        <v>012315</v>
      </c>
      <c r="K42" t="str">
        <f t="shared" si="0"/>
        <v>Output Water Level Low Low Signal,,BitAddress,PLC1,012315,,</v>
      </c>
    </row>
    <row r="43" spans="1:11" x14ac:dyDescent="0.3">
      <c r="A43" t="str">
        <f>'Point List'!C40</f>
        <v>Output Pressure Signal</v>
      </c>
      <c r="C43" t="str">
        <f>'Point List'!L40</f>
        <v>BitAddress</v>
      </c>
      <c r="D43" t="s">
        <v>313</v>
      </c>
      <c r="E43" t="str">
        <f>'Point List'!J40</f>
        <v>012316</v>
      </c>
      <c r="K43" t="str">
        <f t="shared" si="0"/>
        <v>Output Pressure Signal,,BitAddress,PLC1,012316,,</v>
      </c>
    </row>
    <row r="44" spans="1:11" x14ac:dyDescent="0.3">
      <c r="A44" t="str">
        <f>'Point List'!C41</f>
        <v>Output Conductivity Alarm Signal</v>
      </c>
      <c r="C44" t="str">
        <f>'Point List'!L41</f>
        <v>BitAddress</v>
      </c>
      <c r="D44" t="s">
        <v>313</v>
      </c>
      <c r="E44" t="str">
        <f>'Point List'!J41</f>
        <v>012317</v>
      </c>
      <c r="K44" t="str">
        <f t="shared" si="0"/>
        <v>Output Conductivity Alarm Signal,,BitAddress,PLC1,012317,,</v>
      </c>
    </row>
    <row r="45" spans="1:11" x14ac:dyDescent="0.3">
      <c r="A45" t="str">
        <f>'Point List'!C42</f>
        <v>Output Conductivity Fault Signal</v>
      </c>
      <c r="C45" t="str">
        <f>'Point List'!L42</f>
        <v>BitAddress</v>
      </c>
      <c r="D45" t="s">
        <v>313</v>
      </c>
      <c r="E45" t="str">
        <f>'Point List'!J42</f>
        <v>012318</v>
      </c>
      <c r="K45" t="str">
        <f t="shared" si="0"/>
        <v>Output Conductivity Fault Signal,,BitAddress,PLC1,012318,,</v>
      </c>
    </row>
    <row r="46" spans="1:11" x14ac:dyDescent="0.3">
      <c r="A46" t="str">
        <f>'Point List'!C43</f>
        <v>Differential Pump Hours</v>
      </c>
      <c r="C46">
        <f>'Point List'!L43</f>
        <v>0</v>
      </c>
      <c r="D46" t="s">
        <v>313</v>
      </c>
      <c r="E46" t="str">
        <f>'Point List'!J43</f>
        <v>012453</v>
      </c>
      <c r="K46" t="str">
        <f t="shared" si="0"/>
        <v>Differential Pump Hours,,0,PLC1,012453,,</v>
      </c>
    </row>
    <row r="47" spans="1:11" x14ac:dyDescent="0.3">
      <c r="A47" t="str">
        <f>'Point List'!C44</f>
        <v>System Pulse</v>
      </c>
      <c r="C47">
        <f>'Point List'!L44</f>
        <v>0</v>
      </c>
      <c r="D47" t="s">
        <v>313</v>
      </c>
      <c r="E47" t="str">
        <f>'Point List'!J44</f>
        <v>012319</v>
      </c>
      <c r="K47" t="str">
        <f t="shared" si="0"/>
        <v>System Pulse,,0,PLC1,012319,,</v>
      </c>
    </row>
    <row r="48" spans="1:11" x14ac:dyDescent="0.3">
      <c r="A48" t="str">
        <f>'Point List'!C45</f>
        <v>Measured Active Pump  Voltage</v>
      </c>
      <c r="C48" t="str">
        <f>'Point List'!L45</f>
        <v>WordAddress</v>
      </c>
      <c r="D48" t="s">
        <v>313</v>
      </c>
      <c r="E48" t="str">
        <f>'Point List'!J45</f>
        <v>412577</v>
      </c>
      <c r="K48" t="str">
        <f t="shared" si="0"/>
        <v>Measured Active Pump  Voltage,,WordAddress,PLC1,412577,,</v>
      </c>
    </row>
    <row r="49" spans="1:11" x14ac:dyDescent="0.3">
      <c r="A49" t="str">
        <f>'Point List'!C46</f>
        <v>Measured Active Pump  Current</v>
      </c>
      <c r="C49" t="str">
        <f>'Point List'!L46</f>
        <v>WordAddress</v>
      </c>
      <c r="D49" t="s">
        <v>313</v>
      </c>
      <c r="E49" t="str">
        <f>'Point List'!J46</f>
        <v>412579</v>
      </c>
      <c r="K49" t="str">
        <f t="shared" si="0"/>
        <v>Measured Active Pump  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313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313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 1 Total Hours</v>
      </c>
      <c r="C52" t="str">
        <f>'Point List'!L49</f>
        <v>WordAddress</v>
      </c>
      <c r="D52" t="s">
        <v>313</v>
      </c>
      <c r="E52" t="str">
        <f>'Point List'!J49</f>
        <v>412455</v>
      </c>
      <c r="K52" t="str">
        <f t="shared" si="0"/>
        <v>Pump 1 Total Hours,,WordAddress,PLC1,412455,,</v>
      </c>
    </row>
    <row r="53" spans="1:11" x14ac:dyDescent="0.3">
      <c r="A53" t="str">
        <f>'Point List'!C50</f>
        <v>Pump 2 Total Hours</v>
      </c>
      <c r="C53" t="str">
        <f>'Point List'!L50</f>
        <v>WordAddress</v>
      </c>
      <c r="D53" t="s">
        <v>313</v>
      </c>
      <c r="E53" t="str">
        <f>'Point List'!J50</f>
        <v>412457</v>
      </c>
      <c r="K53" t="str">
        <f t="shared" si="0"/>
        <v>Pump 2 Total Hours,,WordAddress,PLC1,412457,,</v>
      </c>
    </row>
    <row r="54" spans="1:11" x14ac:dyDescent="0.3">
      <c r="A54" t="str">
        <f>'Point List'!C51</f>
        <v xml:space="preserve">High Coolant Temperature </v>
      </c>
      <c r="C54" t="str">
        <f>'Point List'!L51</f>
        <v>BitAddress</v>
      </c>
      <c r="D54" t="s">
        <v>313</v>
      </c>
      <c r="E54" t="str">
        <f>'Point List'!J51</f>
        <v>012320</v>
      </c>
      <c r="K54" t="str">
        <f t="shared" si="0"/>
        <v>High Coolant Temperature ,,BitAddress,PLC1,012320,,</v>
      </c>
    </row>
    <row r="55" spans="1:11" x14ac:dyDescent="0.3">
      <c r="A55" t="str">
        <f>'Point List'!C52</f>
        <v>Low Coolant Level in Vessel</v>
      </c>
      <c r="C55" t="str">
        <f>'Point List'!L52</f>
        <v>BitAddress</v>
      </c>
      <c r="D55" t="s">
        <v>313</v>
      </c>
      <c r="E55" t="str">
        <f>'Point List'!J52</f>
        <v>012321</v>
      </c>
      <c r="K55" t="str">
        <f t="shared" si="0"/>
        <v>Low Coolant Level in Vessel,,BitAddress,PLC1,012321,,</v>
      </c>
    </row>
    <row r="56" spans="1:11" x14ac:dyDescent="0.3">
      <c r="A56" t="str">
        <f>'Point List'!C53</f>
        <v xml:space="preserve">High Coolant Conductivity </v>
      </c>
      <c r="C56" t="str">
        <f>'Point List'!L53</f>
        <v>BitAddress</v>
      </c>
      <c r="D56" t="s">
        <v>313</v>
      </c>
      <c r="E56" t="str">
        <f>'Point List'!J53</f>
        <v>012322</v>
      </c>
      <c r="K56" t="str">
        <f t="shared" si="0"/>
        <v>High Coolant Conductivity ,,BitAddress,PLC1,012322,,</v>
      </c>
    </row>
    <row r="57" spans="1:11" x14ac:dyDescent="0.3">
      <c r="A57" t="str">
        <f>'Point List'!C54</f>
        <v>Low Hydraulic Power</v>
      </c>
      <c r="C57" t="str">
        <f>'Point List'!L54</f>
        <v>BitAddress</v>
      </c>
      <c r="D57" t="s">
        <v>313</v>
      </c>
      <c r="E57" t="str">
        <f>'Point List'!J54</f>
        <v>012323</v>
      </c>
      <c r="K57" t="str">
        <f t="shared" si="0"/>
        <v>Low Hydraulic Power,,BitAddress,PLC1,012323,,</v>
      </c>
    </row>
    <row r="58" spans="1:11" x14ac:dyDescent="0.3">
      <c r="A58" t="str">
        <f>'Point List'!C55</f>
        <v>Low Hydraulic Flow</v>
      </c>
      <c r="C58" t="str">
        <f>'Point List'!L55</f>
        <v>BitAddress</v>
      </c>
      <c r="D58" t="s">
        <v>313</v>
      </c>
      <c r="E58" t="str">
        <f>'Point List'!J55</f>
        <v>012324</v>
      </c>
      <c r="K58" t="str">
        <f t="shared" si="0"/>
        <v>Low Hydraulic Flow,,BitAddress,PLC1,012324,,</v>
      </c>
    </row>
    <row r="59" spans="1:11" x14ac:dyDescent="0.3">
      <c r="A59" t="str">
        <f>'Point List'!C56</f>
        <v>Low Hydraulic Pressure</v>
      </c>
      <c r="C59" t="str">
        <f>'Point List'!L56</f>
        <v>BitAddress</v>
      </c>
      <c r="D59" t="s">
        <v>313</v>
      </c>
      <c r="E59" t="str">
        <f>'Point List'!J56</f>
        <v>012325</v>
      </c>
      <c r="K59" t="str">
        <f t="shared" si="0"/>
        <v>Low Hydraulic Pressure,,BitAddress,PLC1,012325,,</v>
      </c>
    </row>
    <row r="60" spans="1:11" x14ac:dyDescent="0.3">
      <c r="A60" t="str">
        <f>'Point List'!C57</f>
        <v>Voltage Signal Malfunction</v>
      </c>
      <c r="C60" t="str">
        <f>'Point List'!L57</f>
        <v>BitAddress</v>
      </c>
      <c r="D60" t="s">
        <v>313</v>
      </c>
      <c r="E60" t="str">
        <f>'Point List'!J57</f>
        <v>012326</v>
      </c>
      <c r="K60" t="str">
        <f t="shared" si="0"/>
        <v>Voltage Signal Malfunction,,BitAddress,PLC1,012326,,</v>
      </c>
    </row>
    <row r="61" spans="1:11" x14ac:dyDescent="0.3">
      <c r="A61" t="str">
        <f>'Point List'!C58</f>
        <v>Current Signal Malfunction</v>
      </c>
      <c r="C61" t="str">
        <f>'Point List'!L58</f>
        <v>BitAddress</v>
      </c>
      <c r="D61" t="s">
        <v>313</v>
      </c>
      <c r="E61" t="str">
        <f>'Point List'!J58</f>
        <v>012327</v>
      </c>
      <c r="K61" t="str">
        <f t="shared" si="0"/>
        <v>Current Signal Malfunction,,BitAddress,PLC1,012327,,</v>
      </c>
    </row>
    <row r="62" spans="1:11" x14ac:dyDescent="0.3">
      <c r="A62" t="str">
        <f>'Point List'!C59</f>
        <v>Primary Hydraulic Failure</v>
      </c>
      <c r="C62" t="str">
        <f>'Point List'!L59</f>
        <v>BitAddress</v>
      </c>
      <c r="D62" t="s">
        <v>313</v>
      </c>
      <c r="E62" t="str">
        <f>'Point List'!J59</f>
        <v>012328</v>
      </c>
      <c r="K62" t="str">
        <f t="shared" si="0"/>
        <v>Primary Hydraulic Failure,,BitAddress,PLC1,012328,,</v>
      </c>
    </row>
    <row r="63" spans="1:11" x14ac:dyDescent="0.3">
      <c r="A63" t="str">
        <f>'Point List'!C60</f>
        <v>Secondary Hydraulic Failure</v>
      </c>
      <c r="C63" t="str">
        <f>'Point List'!L60</f>
        <v>BitAddress</v>
      </c>
      <c r="D63" t="s">
        <v>313</v>
      </c>
      <c r="E63" t="str">
        <f>'Point List'!J60</f>
        <v>012329</v>
      </c>
      <c r="K63" t="str">
        <f t="shared" si="0"/>
        <v>Secondary Hydraulic Failure,,BitAddress,PLC1,012329,,</v>
      </c>
    </row>
    <row r="64" spans="1:11" x14ac:dyDescent="0.3">
      <c r="A64" t="str">
        <f>'Point List'!C61</f>
        <v>Automatic Valve Control Disabled</v>
      </c>
      <c r="C64" t="str">
        <f>'Point List'!L61</f>
        <v>BitAddress</v>
      </c>
      <c r="D64" t="s">
        <v>313</v>
      </c>
      <c r="E64" t="str">
        <f>'Point List'!J61</f>
        <v>012330</v>
      </c>
      <c r="K64" t="str">
        <f t="shared" si="0"/>
        <v>Automatic Valve Control Disabled,,BitAddress,PLC1,012330,,</v>
      </c>
    </row>
    <row r="65" spans="1:11" x14ac:dyDescent="0.3">
      <c r="A65" t="str">
        <f>'Point List'!C62</f>
        <v>Automatic Fan Control Disabled</v>
      </c>
      <c r="C65" t="str">
        <f>'Point List'!L62</f>
        <v>BitAddress</v>
      </c>
      <c r="D65" t="s">
        <v>313</v>
      </c>
      <c r="E65" t="str">
        <f>'Point List'!J62</f>
        <v>012331</v>
      </c>
      <c r="K65" t="str">
        <f t="shared" si="0"/>
        <v>Automatic Fan Control Disabled,,BitAddress,PLC1,012331,,</v>
      </c>
    </row>
    <row r="66" spans="1:11" x14ac:dyDescent="0.3">
      <c r="A66" t="str">
        <f>'Point List'!C63</f>
        <v>Flow Signal Malfunction</v>
      </c>
      <c r="C66" t="str">
        <f>'Point List'!L63</f>
        <v>BitAddress</v>
      </c>
      <c r="D66" t="s">
        <v>313</v>
      </c>
      <c r="E66" t="str">
        <f>'Point List'!J63</f>
        <v>012332</v>
      </c>
      <c r="K66" t="str">
        <f t="shared" si="0"/>
        <v>Flow Signal Malfunction,,BitAddress,PLC1,012332,,</v>
      </c>
    </row>
    <row r="67" spans="1:11" x14ac:dyDescent="0.3">
      <c r="A67" t="str">
        <f>'Point List'!C64</f>
        <v>Bad RTD 1 Signal</v>
      </c>
      <c r="C67" t="str">
        <f>'Point List'!L64</f>
        <v>BitAddress</v>
      </c>
      <c r="D67" t="s">
        <v>313</v>
      </c>
      <c r="E67" t="str">
        <f>'Point List'!J64</f>
        <v>012333</v>
      </c>
      <c r="K67" t="str">
        <f t="shared" si="0"/>
        <v>Bad RTD 1 Signal,,BitAddress,PLC1,012333,,</v>
      </c>
    </row>
    <row r="68" spans="1:11" x14ac:dyDescent="0.3">
      <c r="A68" t="str">
        <f>'Point List'!C65</f>
        <v>Bad RTD 2 Signal</v>
      </c>
      <c r="C68" t="str">
        <f>'Point List'!L65</f>
        <v>BitAddress</v>
      </c>
      <c r="D68" t="s">
        <v>313</v>
      </c>
      <c r="E68" t="str">
        <f>'Point List'!J65</f>
        <v>012334</v>
      </c>
      <c r="K68" t="str">
        <f t="shared" si="0"/>
        <v>Bad RTD 2 Signal,,BitAddress,PLC1,012334,,</v>
      </c>
    </row>
    <row r="69" spans="1:11" x14ac:dyDescent="0.3">
      <c r="A69" t="str">
        <f>'Point List'!C66</f>
        <v>Bad RTD 3 Signal</v>
      </c>
      <c r="C69" t="str">
        <f>'Point List'!L66</f>
        <v>BitAddress</v>
      </c>
      <c r="D69" t="s">
        <v>313</v>
      </c>
      <c r="E69" t="str">
        <f>'Point List'!J66</f>
        <v>012335</v>
      </c>
      <c r="K69" t="str">
        <f t="shared" si="0"/>
        <v>Bad RTD 3 Signal,,BitAddress,PLC1,012335,,</v>
      </c>
    </row>
    <row r="70" spans="1:11" x14ac:dyDescent="0.3">
      <c r="A70" t="str">
        <f>'Point List'!C67</f>
        <v>Pump Cycle Alarm</v>
      </c>
      <c r="C70" t="str">
        <f>'Point List'!L67</f>
        <v>BitAddress</v>
      </c>
      <c r="D70" t="s">
        <v>313</v>
      </c>
      <c r="E70" t="str">
        <f>'Point List'!J67</f>
        <v>012336</v>
      </c>
      <c r="K70" t="str">
        <f t="shared" si="0"/>
        <v>Pump Cycle Alarm,,BitAddress,PLC1,012336,,</v>
      </c>
    </row>
    <row r="71" spans="1:11" x14ac:dyDescent="0.3">
      <c r="A71" t="str">
        <f>'Point List'!C68</f>
        <v>Critical Temperature</v>
      </c>
      <c r="C71" t="str">
        <f>'Point List'!L68</f>
        <v>BitAddress</v>
      </c>
      <c r="D71" t="s">
        <v>313</v>
      </c>
      <c r="E71" t="str">
        <f>'Point List'!J68</f>
        <v>012337</v>
      </c>
      <c r="K71" t="str">
        <f t="shared" ref="K71:K107" si="1">_xlfn.CONCAT(A71,",",B71,",",C71,",",D71,",",E71,",",F71,",",G71)</f>
        <v>Critical Temperature,,BitAddress,PLC1,012337,,</v>
      </c>
    </row>
    <row r="72" spans="1:11" x14ac:dyDescent="0.3">
      <c r="A72" t="str">
        <f>'Point List'!C69</f>
        <v>Critical Vessel Level</v>
      </c>
      <c r="C72" t="str">
        <f>'Point List'!L69</f>
        <v>BitAddress</v>
      </c>
      <c r="D72" t="s">
        <v>313</v>
      </c>
      <c r="E72" t="str">
        <f>'Point List'!J69</f>
        <v>012338</v>
      </c>
      <c r="K72" t="str">
        <f t="shared" si="1"/>
        <v>Critical Vessel Level,,BitAddress,PLC1,012338,,</v>
      </c>
    </row>
    <row r="73" spans="1:11" x14ac:dyDescent="0.3">
      <c r="A73" t="str">
        <f>'Point List'!C70</f>
        <v>Critical Conductivity</v>
      </c>
      <c r="C73" t="str">
        <f>'Point List'!L70</f>
        <v>BitAddress</v>
      </c>
      <c r="D73" t="s">
        <v>313</v>
      </c>
      <c r="E73" t="str">
        <f>'Point List'!J70</f>
        <v>012339</v>
      </c>
      <c r="K73" t="str">
        <f t="shared" si="1"/>
        <v>Critical Conductivity,,BitAddress,PLC1,012339,,</v>
      </c>
    </row>
    <row r="74" spans="1:11" x14ac:dyDescent="0.3">
      <c r="A74" t="str">
        <f>'Point List'!C71</f>
        <v>Level Sensor Malfunction</v>
      </c>
      <c r="C74" t="str">
        <f>'Point List'!L71</f>
        <v>BitAddress</v>
      </c>
      <c r="D74" t="s">
        <v>313</v>
      </c>
      <c r="E74" t="str">
        <f>'Point List'!J71</f>
        <v>012340</v>
      </c>
      <c r="K74" t="str">
        <f t="shared" si="1"/>
        <v>Level Sensor Malfunction,,BitAddress,PLC1,012340,,</v>
      </c>
    </row>
    <row r="75" spans="1:11" x14ac:dyDescent="0.3">
      <c r="A75" t="str">
        <f>'Point List'!C72</f>
        <v>Conductivity Sensor Malfunction</v>
      </c>
      <c r="C75" t="str">
        <f>'Point List'!L72</f>
        <v>BitAddress</v>
      </c>
      <c r="D75" t="s">
        <v>313</v>
      </c>
      <c r="E75" t="str">
        <f>'Point List'!J72</f>
        <v>012341</v>
      </c>
      <c r="K75" t="str">
        <f t="shared" si="1"/>
        <v>Conductivity Sensor Malfunction,,BitAddress,PLC1,012341,,</v>
      </c>
    </row>
    <row r="76" spans="1:11" x14ac:dyDescent="0.3">
      <c r="A76" t="str">
        <f>'Point List'!C73</f>
        <v>Bingo Pumps</v>
      </c>
      <c r="C76" t="str">
        <f>'Point List'!L73</f>
        <v>BitAddress</v>
      </c>
      <c r="D76" t="s">
        <v>313</v>
      </c>
      <c r="E76" t="str">
        <f>'Point List'!J73</f>
        <v>012342</v>
      </c>
      <c r="K76" t="str">
        <f t="shared" si="1"/>
        <v>Bingo Pumps,,BitAddress,PLC1,012342,,</v>
      </c>
    </row>
    <row r="77" spans="1:11" x14ac:dyDescent="0.3">
      <c r="A77" t="str">
        <f>'Point List'!C74</f>
        <v>Temperature Sensor Malfunction</v>
      </c>
      <c r="C77" t="str">
        <f>'Point List'!L74</f>
        <v>BitAddress</v>
      </c>
      <c r="D77" t="s">
        <v>313</v>
      </c>
      <c r="E77" t="str">
        <f>'Point List'!J74</f>
        <v>012343</v>
      </c>
      <c r="K77" t="str">
        <f t="shared" si="1"/>
        <v>Temperature Sensor Malfunction,,BitAddress,PLC1,012343,,</v>
      </c>
    </row>
    <row r="78" spans="1:11" x14ac:dyDescent="0.3">
      <c r="A78" t="str">
        <f>'Point List'!C75</f>
        <v>Bad Valve Pos</v>
      </c>
      <c r="C78" t="str">
        <f>'Point List'!L75</f>
        <v>BitAddress</v>
      </c>
      <c r="D78" t="s">
        <v>313</v>
      </c>
      <c r="E78" t="str">
        <f>'Point List'!J75</f>
        <v>012344</v>
      </c>
      <c r="K78" t="str">
        <f t="shared" si="1"/>
        <v>Bad Valve Pos,,BitAddress,PLC1,012344,,</v>
      </c>
    </row>
    <row r="79" spans="1:11" x14ac:dyDescent="0.3">
      <c r="A79" t="str">
        <f>'Point List'!C76</f>
        <v>Master Fault Signal</v>
      </c>
      <c r="C79" t="str">
        <f>'Point List'!L76</f>
        <v>BitAddress</v>
      </c>
      <c r="D79" t="s">
        <v>313</v>
      </c>
      <c r="E79" t="str">
        <f>'Point List'!J76</f>
        <v>012345</v>
      </c>
      <c r="K79" t="str">
        <f t="shared" si="1"/>
        <v>Master Fault Signal,,BitAddress,PLC1,012345,,</v>
      </c>
    </row>
    <row r="80" spans="1:11" x14ac:dyDescent="0.3">
      <c r="A80" t="str">
        <f>'Point List'!C77</f>
        <v>Conductivity Analog</v>
      </c>
      <c r="C80">
        <f>'Point List'!L77</f>
        <v>0</v>
      </c>
      <c r="D80" t="s">
        <v>313</v>
      </c>
      <c r="E80" t="str">
        <f>'Point List'!J77</f>
        <v>NOT ACCESSIBLE</v>
      </c>
      <c r="K80" t="str">
        <f t="shared" si="1"/>
        <v>Conductivity Analog,,0,PLC1,NOT ACCESSIBLE,,</v>
      </c>
    </row>
    <row r="81" spans="1:11" x14ac:dyDescent="0.3">
      <c r="A81" t="str">
        <f>'Point List'!C78</f>
        <v>RTD 1</v>
      </c>
      <c r="C81">
        <f>'Point List'!L78</f>
        <v>0</v>
      </c>
      <c r="D81" t="s">
        <v>313</v>
      </c>
      <c r="E81" t="str">
        <f>'Point List'!J78</f>
        <v>NOT ACCESSIBLE</v>
      </c>
      <c r="K81" t="str">
        <f t="shared" si="1"/>
        <v>RTD 1,,0,PLC1,NOT ACCESSIBLE,,</v>
      </c>
    </row>
    <row r="82" spans="1:11" x14ac:dyDescent="0.3">
      <c r="A82" t="str">
        <f>'Point List'!C79</f>
        <v>RTD 2</v>
      </c>
      <c r="C82">
        <f>'Point List'!L79</f>
        <v>0</v>
      </c>
      <c r="D82" t="s">
        <v>313</v>
      </c>
      <c r="E82" t="str">
        <f>'Point List'!J79</f>
        <v>NOT ACCESSIBLE</v>
      </c>
      <c r="K82" t="str">
        <f t="shared" si="1"/>
        <v>RTD 2,,0,PLC1,NOT ACCESSIBLE,,</v>
      </c>
    </row>
    <row r="83" spans="1:11" x14ac:dyDescent="0.3">
      <c r="A83" t="str">
        <f>'Point List'!C80</f>
        <v>RTD 3</v>
      </c>
      <c r="C83">
        <f>'Point List'!L80</f>
        <v>0</v>
      </c>
      <c r="D83" t="s">
        <v>313</v>
      </c>
      <c r="E83" t="str">
        <f>'Point List'!J80</f>
        <v>NOT ACCESSIBLE</v>
      </c>
      <c r="K83" t="str">
        <f t="shared" si="1"/>
        <v>RTD 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313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313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 Analog</v>
      </c>
      <c r="C86">
        <f>'Point List'!L83</f>
        <v>0</v>
      </c>
      <c r="D86" t="s">
        <v>313</v>
      </c>
      <c r="E86" t="str">
        <f>'Point List'!J83</f>
        <v>NOT ACCESSIBLE</v>
      </c>
      <c r="K86" t="str">
        <f t="shared" si="1"/>
        <v>Flow Analog,,0,PLC1,NOT ACCESSIBLE,,</v>
      </c>
    </row>
    <row r="87" spans="1:11" x14ac:dyDescent="0.3">
      <c r="A87" t="str">
        <f>'Point List'!C84</f>
        <v>Conductivity Alarm</v>
      </c>
      <c r="C87">
        <f>'Point List'!L84</f>
        <v>0</v>
      </c>
      <c r="D87" t="s">
        <v>313</v>
      </c>
      <c r="E87" t="str">
        <f>'Point List'!J84</f>
        <v>NOT ACCESSIBLE</v>
      </c>
      <c r="K87" t="str">
        <f t="shared" si="1"/>
        <v>Conductivity Alarm,,0,PLC1,NOT ACCESSIBLE,,</v>
      </c>
    </row>
    <row r="88" spans="1:11" x14ac:dyDescent="0.3">
      <c r="A88" t="str">
        <f>'Point List'!C85</f>
        <v>Conductivity Fault</v>
      </c>
      <c r="C88">
        <f>'Point List'!L85</f>
        <v>0</v>
      </c>
      <c r="D88" t="s">
        <v>313</v>
      </c>
      <c r="E88" t="str">
        <f>'Point List'!J85</f>
        <v>NOT ACCESSIBLE</v>
      </c>
      <c r="K88" t="str">
        <f t="shared" si="1"/>
        <v>Conductivity Fault,,0,PLC1,NOT ACCESSIBLE,,</v>
      </c>
    </row>
    <row r="89" spans="1:11" x14ac:dyDescent="0.3">
      <c r="A89" t="str">
        <f>'Point List'!C86</f>
        <v>Level Low Switch</v>
      </c>
      <c r="C89">
        <f>'Point List'!L86</f>
        <v>0</v>
      </c>
      <c r="D89" t="s">
        <v>313</v>
      </c>
      <c r="E89" t="str">
        <f>'Point List'!J86</f>
        <v>NOT ACCESSIBLE</v>
      </c>
      <c r="K89" t="str">
        <f t="shared" si="1"/>
        <v>Level Low Switch,,0,PLC1,NOT ACCESSIBLE,,</v>
      </c>
    </row>
    <row r="90" spans="1:11" x14ac:dyDescent="0.3">
      <c r="A90" t="str">
        <f>'Point List'!C87</f>
        <v>Level Low Low Switch</v>
      </c>
      <c r="C90">
        <f>'Point List'!L87</f>
        <v>0</v>
      </c>
      <c r="D90" t="s">
        <v>313</v>
      </c>
      <c r="E90" t="str">
        <f>'Point List'!J87</f>
        <v>NOT ACCESSIBLE</v>
      </c>
      <c r="K90" t="str">
        <f t="shared" si="1"/>
        <v>Level Low Low Switch,,0,PLC1,NOT ACCESSIBLE,,</v>
      </c>
    </row>
    <row r="91" spans="1:11" x14ac:dyDescent="0.3">
      <c r="A91" t="str">
        <f>'Point List'!C88</f>
        <v>Fan 1 Enable</v>
      </c>
      <c r="C91">
        <f>'Point List'!L88</f>
        <v>0</v>
      </c>
      <c r="D91" t="s">
        <v>313</v>
      </c>
      <c r="E91" t="str">
        <f>'Point List'!J88</f>
        <v>NOT ACCESSIBLE</v>
      </c>
      <c r="K91" t="str">
        <f t="shared" si="1"/>
        <v>Fan 1 Enable,,0,PLC1,NOT ACCESSIBLE,,</v>
      </c>
    </row>
    <row r="92" spans="1:11" x14ac:dyDescent="0.3">
      <c r="A92" t="str">
        <f>'Point List'!C89</f>
        <v>Fan 2 Enable</v>
      </c>
      <c r="C92">
        <f>'Point List'!L89</f>
        <v>0</v>
      </c>
      <c r="D92" t="s">
        <v>313</v>
      </c>
      <c r="E92" t="str">
        <f>'Point List'!J89</f>
        <v>NOT ACCESSIBLE</v>
      </c>
      <c r="K92" t="str">
        <f t="shared" si="1"/>
        <v>Fan 2 Enable,,0,PLC1,NOT ACCESSIBLE,,</v>
      </c>
    </row>
    <row r="93" spans="1:11" x14ac:dyDescent="0.3">
      <c r="A93" t="str">
        <f>'Point List'!C90</f>
        <v>Pump 1 Enable</v>
      </c>
      <c r="C93">
        <f>'Point List'!L90</f>
        <v>0</v>
      </c>
      <c r="D93" t="s">
        <v>313</v>
      </c>
      <c r="E93" t="str">
        <f>'Point List'!J90</f>
        <v>NOT ACCESSIBLE</v>
      </c>
      <c r="K93" t="str">
        <f t="shared" si="1"/>
        <v>Pump 1 Enable,,0,PLC1,NOT ACCESSIBLE,,</v>
      </c>
    </row>
    <row r="94" spans="1:11" x14ac:dyDescent="0.3">
      <c r="A94" t="str">
        <f>'Point List'!C91</f>
        <v>Pump 2 Enable</v>
      </c>
      <c r="C94">
        <f>'Point List'!L91</f>
        <v>0</v>
      </c>
      <c r="D94" t="s">
        <v>313</v>
      </c>
      <c r="E94" t="str">
        <f>'Point List'!J91</f>
        <v>NOT ACCESSIBLE</v>
      </c>
      <c r="K94" t="str">
        <f t="shared" si="1"/>
        <v>Pump 2 Enable,,0,PLC1,NOT ACCESSIBLE,,</v>
      </c>
    </row>
    <row r="95" spans="1:11" x14ac:dyDescent="0.3">
      <c r="A95" t="str">
        <f>'Point List'!C92</f>
        <v>Valve Actuation Signal</v>
      </c>
      <c r="C95">
        <f>'Point List'!L92</f>
        <v>0</v>
      </c>
      <c r="D95" t="s">
        <v>313</v>
      </c>
      <c r="E95" t="str">
        <f>'Point List'!J92</f>
        <v>NOT ACCESSIBLE</v>
      </c>
      <c r="K95" t="str">
        <f t="shared" si="1"/>
        <v>Valve Actuation Signal,,0,PLC1,NOT ACCESSIBLE,,</v>
      </c>
    </row>
    <row r="96" spans="1:11" x14ac:dyDescent="0.3">
      <c r="A96" t="str">
        <f>'Point List'!C93</f>
        <v>Pressure Switch Signal</v>
      </c>
      <c r="C96">
        <f>'Point List'!L93</f>
        <v>0</v>
      </c>
      <c r="D96" t="s">
        <v>313</v>
      </c>
      <c r="E96" t="str">
        <f>'Point List'!J93</f>
        <v>NOT ACCESSIBLE</v>
      </c>
      <c r="K96" t="str">
        <f t="shared" si="1"/>
        <v>Pressure Switch Signal,,0,PLC1,NOT ACCESSIBLE,,</v>
      </c>
    </row>
    <row r="97" spans="1:11" x14ac:dyDescent="0.3">
      <c r="A97" t="str">
        <f>'Point List'!C94</f>
        <v>Active Pump  Current</v>
      </c>
      <c r="C97">
        <f>'Point List'!L94</f>
        <v>0</v>
      </c>
      <c r="D97" t="s">
        <v>313</v>
      </c>
      <c r="E97" t="str">
        <f>'Point List'!J94</f>
        <v>NOT ACCESSIBLE</v>
      </c>
      <c r="K97" t="str">
        <f t="shared" si="1"/>
        <v>Active Pump  Current,,0,PLC1,NOT ACCESSIBLE,,</v>
      </c>
    </row>
    <row r="98" spans="1:11" x14ac:dyDescent="0.3">
      <c r="A98" t="str">
        <f>'Point List'!C95</f>
        <v>Active Pump  Voltage</v>
      </c>
      <c r="C98">
        <f>'Point List'!L95</f>
        <v>0</v>
      </c>
      <c r="D98" t="s">
        <v>313</v>
      </c>
      <c r="E98" t="str">
        <f>'Point List'!J95</f>
        <v>NOT ACCESSIBLE</v>
      </c>
      <c r="K98" t="str">
        <f t="shared" si="1"/>
        <v>Active Pump  Voltage,,0,PLC1,NOT ACCESSIBLE,,</v>
      </c>
    </row>
    <row r="99" spans="1:11" x14ac:dyDescent="0.3">
      <c r="A99" t="str">
        <f>'Point List'!C96</f>
        <v>Valve Position Signal</v>
      </c>
      <c r="C99">
        <f>'Point List'!L96</f>
        <v>0</v>
      </c>
      <c r="D99" t="s">
        <v>313</v>
      </c>
      <c r="E99" t="str">
        <f>'Point List'!J96</f>
        <v>NOT ACCESSIBLE</v>
      </c>
      <c r="K99" t="str">
        <f t="shared" si="1"/>
        <v>Valve Position 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313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 Pump Active</v>
      </c>
      <c r="C101" t="str">
        <f>'Point List'!L98</f>
        <v>BitAddress</v>
      </c>
      <c r="D101" t="s">
        <v>313</v>
      </c>
      <c r="E101" t="str">
        <f>'Point List'!J98</f>
        <v>012346</v>
      </c>
      <c r="K101" t="str">
        <f t="shared" si="1"/>
        <v>Primary Pump Active,,BitAddress,PLC1,012346,,</v>
      </c>
    </row>
    <row r="102" spans="1:11" x14ac:dyDescent="0.3">
      <c r="A102" t="str">
        <f>'Point List'!C99</f>
        <v>Secondary Pump  Active</v>
      </c>
      <c r="C102" t="str">
        <f>'Point List'!L99</f>
        <v>BitAddress</v>
      </c>
      <c r="D102" t="s">
        <v>313</v>
      </c>
      <c r="E102" t="str">
        <f>'Point List'!J99</f>
        <v>012347</v>
      </c>
      <c r="K102" t="str">
        <f t="shared" si="1"/>
        <v>Secondary Pump  Active,,BitAddress,PLC1,012347,,</v>
      </c>
    </row>
    <row r="103" spans="1:11" x14ac:dyDescent="0.3">
      <c r="A103" t="str">
        <f>'Point List'!C100</f>
        <v>Simplex Mode Active</v>
      </c>
      <c r="C103" t="str">
        <f>'Point List'!L100</f>
        <v>BitAddress</v>
      </c>
      <c r="D103" t="s">
        <v>313</v>
      </c>
      <c r="E103" t="str">
        <f>'Point List'!J100</f>
        <v>012348</v>
      </c>
      <c r="K103" t="str">
        <f t="shared" si="1"/>
        <v>Simplex Mode Active,,BitAddress,PLC1,012348,,</v>
      </c>
    </row>
    <row r="104" spans="1:11" x14ac:dyDescent="0.3">
      <c r="A104" t="str">
        <f>'Point List'!C101</f>
        <v>Fan 1 Active</v>
      </c>
      <c r="C104" t="str">
        <f>'Point List'!L101</f>
        <v>BitAddress</v>
      </c>
      <c r="D104" t="s">
        <v>313</v>
      </c>
      <c r="E104" t="str">
        <f>'Point List'!J101</f>
        <v>012349</v>
      </c>
      <c r="K104" t="str">
        <f t="shared" si="1"/>
        <v>Fan 1 Active,,BitAddress,PLC1,012349,,</v>
      </c>
    </row>
    <row r="105" spans="1:11" x14ac:dyDescent="0.3">
      <c r="A105" t="str">
        <f>'Point List'!C102</f>
        <v>Fan 2 Active</v>
      </c>
      <c r="C105" t="str">
        <f>'Point List'!L102</f>
        <v>BitAddress</v>
      </c>
      <c r="D105" t="s">
        <v>313</v>
      </c>
      <c r="E105" t="str">
        <f>'Point List'!J102</f>
        <v>012350</v>
      </c>
      <c r="K105" t="str">
        <f t="shared" si="1"/>
        <v>Fan 2 Active,,BitAddress,PLC1,012350,,</v>
      </c>
    </row>
    <row r="106" spans="1:11" x14ac:dyDescent="0.3">
      <c r="A106" t="str">
        <f>'Point List'!C103</f>
        <v>Enable Pump Cycling</v>
      </c>
      <c r="C106" t="str">
        <f>'Point List'!L103</f>
        <v>BitAddress</v>
      </c>
      <c r="D106" t="s">
        <v>313</v>
      </c>
      <c r="E106" t="str">
        <f>'Point List'!J103</f>
        <v>012351</v>
      </c>
      <c r="K106" t="str">
        <f t="shared" si="1"/>
        <v>Enable Pump Cycling,,BitAddress,PLC1,012351,,</v>
      </c>
    </row>
    <row r="107" spans="1:11" x14ac:dyDescent="0.3">
      <c r="A107" t="str">
        <f>'Point List'!C104</f>
        <v>System Diagnostics</v>
      </c>
      <c r="C107" t="str">
        <f>'Point List'!L104</f>
        <v>BitAddress</v>
      </c>
      <c r="D107" t="s">
        <v>313</v>
      </c>
      <c r="E107" t="str">
        <f>'Point List'!J104</f>
        <v>012352</v>
      </c>
      <c r="K107" t="str">
        <f t="shared" si="1"/>
        <v>System Diagnostics,,BitAddress,PLC1,012352,,</v>
      </c>
    </row>
    <row r="108" spans="1:11" x14ac:dyDescent="0.3">
      <c r="A108">
        <f>'Point List'!C105</f>
        <v>0</v>
      </c>
      <c r="C108">
        <f>'Point List'!L105</f>
        <v>0</v>
      </c>
      <c r="D108" t="s">
        <v>313</v>
      </c>
      <c r="E108">
        <f>'Point List'!J105</f>
        <v>0</v>
      </c>
    </row>
    <row r="109" spans="1:11" x14ac:dyDescent="0.3">
      <c r="A109">
        <f>'Point List'!C106</f>
        <v>0</v>
      </c>
      <c r="C109">
        <f>'Point List'!L106</f>
        <v>0</v>
      </c>
      <c r="D109" t="s">
        <v>313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313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313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313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313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313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313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313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313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313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313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313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313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313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313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313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313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313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313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313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313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313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313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313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313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313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313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313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313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313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313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313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313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313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313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313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313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313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313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313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313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313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313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313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313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313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313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313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313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313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313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313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313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313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313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313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313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313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313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313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313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313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313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313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313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313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313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313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313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313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313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313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313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313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313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313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313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313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313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313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313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313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313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313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313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313</v>
      </c>
      <c r="E194">
        <f>'Point List'!J191</f>
        <v>0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workbookViewId="0">
      <selection activeCell="F6" sqref="F6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K194"/>
  <sheetViews>
    <sheetView tabSelected="1" workbookViewId="0">
      <selection activeCell="K5" sqref="K5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301</v>
      </c>
      <c r="K1" t="str">
        <f>A1</f>
        <v>GP-Pro EX</v>
      </c>
    </row>
    <row r="2" spans="1:11" x14ac:dyDescent="0.3">
      <c r="A2" t="s">
        <v>302</v>
      </c>
      <c r="B2" t="s">
        <v>304</v>
      </c>
      <c r="K2" t="str">
        <f>_xlfn.CONCAT(A2,",",B2)</f>
        <v>File Type,SymbolVariable</v>
      </c>
    </row>
    <row r="3" spans="1:11" x14ac:dyDescent="0.3">
      <c r="A3" t="s">
        <v>303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305</v>
      </c>
      <c r="C5" t="s">
        <v>306</v>
      </c>
      <c r="D5" t="s">
        <v>307</v>
      </c>
      <c r="E5" t="s">
        <v>308</v>
      </c>
      <c r="F5" t="s">
        <v>309</v>
      </c>
      <c r="G5" t="s">
        <v>310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 Start</v>
      </c>
      <c r="C6" t="str">
        <f>'Point List'!L3</f>
        <v>BitAddress</v>
      </c>
      <c r="D6" t="s">
        <v>313</v>
      </c>
      <c r="E6" t="str">
        <f>'Point List'!J3</f>
        <v>012289</v>
      </c>
      <c r="K6" t="str">
        <f>_xlfn.CONCAT(A6,",",B6,",",C6,",",D6,",",E6,",",F6,",",G6)</f>
        <v>System Start,,BitAddress,PLC1,012289,,</v>
      </c>
    </row>
    <row r="7" spans="1:11" x14ac:dyDescent="0.3">
      <c r="A7" t="str">
        <f>'Point List'!C4</f>
        <v>System Shutdown</v>
      </c>
      <c r="C7" t="str">
        <f>'Point List'!L4</f>
        <v>BitAddress</v>
      </c>
      <c r="D7" t="s">
        <v>313</v>
      </c>
      <c r="E7" t="str">
        <f>'Point List'!J4</f>
        <v>012290</v>
      </c>
      <c r="K7" t="str">
        <f t="shared" ref="K7:K70" si="0">_xlfn.CONCAT(A7,",",B7,",",C7,",",D7,",",E7,",",F7,",",G7)</f>
        <v>System Shutdown,,BitAddress,PLC1,012290,,</v>
      </c>
    </row>
    <row r="8" spans="1:11" x14ac:dyDescent="0.3">
      <c r="A8" t="str">
        <f>'Point List'!C5</f>
        <v>Simplex Mode</v>
      </c>
      <c r="C8" t="str">
        <f>'Point List'!L5</f>
        <v>BitAddress</v>
      </c>
      <c r="D8" t="s">
        <v>313</v>
      </c>
      <c r="E8" t="str">
        <f>'Point List'!J5</f>
        <v>012291</v>
      </c>
      <c r="K8" t="str">
        <f t="shared" si="0"/>
        <v>Simplex Mode,,BitAddress,PLC1,012291,,</v>
      </c>
    </row>
    <row r="9" spans="1:11" x14ac:dyDescent="0.3">
      <c r="A9" t="str">
        <f>'Point List'!C6</f>
        <v>Manual Turnover</v>
      </c>
      <c r="C9" t="str">
        <f>'Point List'!L6</f>
        <v>BitAddress</v>
      </c>
      <c r="D9" t="s">
        <v>313</v>
      </c>
      <c r="E9" t="str">
        <f>'Point List'!J6</f>
        <v>012292</v>
      </c>
      <c r="K9" t="str">
        <f t="shared" si="0"/>
        <v>Manual Turnover,,BitAddress,PLC1,012292,,</v>
      </c>
    </row>
    <row r="10" spans="1:11" x14ac:dyDescent="0.3">
      <c r="A10" t="str">
        <f>'Point List'!C7</f>
        <v>Enable Manual Valve Control</v>
      </c>
      <c r="C10" t="str">
        <f>'Point List'!L7</f>
        <v>BitAddress</v>
      </c>
      <c r="D10" t="s">
        <v>313</v>
      </c>
      <c r="E10" t="str">
        <f>'Point List'!J7</f>
        <v>012293</v>
      </c>
      <c r="K10" t="str">
        <f t="shared" si="0"/>
        <v>Enable Manual Valve Control,,BitAddress,PLC1,012293,,</v>
      </c>
    </row>
    <row r="11" spans="1:11" x14ac:dyDescent="0.3">
      <c r="A11" t="str">
        <f>'Point List'!C8</f>
        <v>Enable Manual Fan Control</v>
      </c>
      <c r="C11" t="str">
        <f>'Point List'!L8</f>
        <v>BitAddress</v>
      </c>
      <c r="D11" t="s">
        <v>313</v>
      </c>
      <c r="E11" t="str">
        <f>'Point List'!J8</f>
        <v>012294</v>
      </c>
      <c r="K11" t="str">
        <f t="shared" si="0"/>
        <v>Enable Manual Fan 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313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 Fan 1 On/Off</v>
      </c>
      <c r="C13" t="str">
        <f>'Point List'!L10</f>
        <v>BitAddress</v>
      </c>
      <c r="D13" t="s">
        <v>313</v>
      </c>
      <c r="E13" t="str">
        <f>'Point List'!J10</f>
        <v>012296</v>
      </c>
      <c r="K13" t="str">
        <f t="shared" si="0"/>
        <v>Force Fan 1 On/Off,,BitAddress,PLC1,012296,,</v>
      </c>
    </row>
    <row r="14" spans="1:11" x14ac:dyDescent="0.3">
      <c r="A14" t="str">
        <f>'Point List'!C11</f>
        <v>Force Fan 2 On/Off</v>
      </c>
      <c r="C14" t="str">
        <f>'Point List'!L11</f>
        <v>BitAddress</v>
      </c>
      <c r="D14" t="s">
        <v>313</v>
      </c>
      <c r="E14" t="str">
        <f>'Point List'!J11</f>
        <v>012297</v>
      </c>
      <c r="K14" t="str">
        <f t="shared" si="0"/>
        <v>Force Fan 2 On/Off,,BitAddress,PLC1,012297,,</v>
      </c>
    </row>
    <row r="15" spans="1:11" x14ac:dyDescent="0.3">
      <c r="A15" t="str">
        <f>'Point List'!C12</f>
        <v>Primary Hydraulic Fault ACK</v>
      </c>
      <c r="C15" t="str">
        <f>'Point List'!L12</f>
        <v>BitAddress</v>
      </c>
      <c r="D15" t="s">
        <v>313</v>
      </c>
      <c r="E15" t="str">
        <f>'Point List'!J12</f>
        <v>012298</v>
      </c>
      <c r="K15" t="str">
        <f t="shared" si="0"/>
        <v>Primary Hydraulic Fault ACK,,BitAddress,PLC1,012298,,</v>
      </c>
    </row>
    <row r="16" spans="1:11" x14ac:dyDescent="0.3">
      <c r="A16" t="str">
        <f>'Point List'!C13</f>
        <v>Secondary Hydraulic Fault ACK</v>
      </c>
      <c r="C16" t="str">
        <f>'Point List'!L13</f>
        <v>BitAddress</v>
      </c>
      <c r="D16" t="s">
        <v>313</v>
      </c>
      <c r="E16" t="str">
        <f>'Point List'!J13</f>
        <v>012299</v>
      </c>
      <c r="K16" t="str">
        <f t="shared" si="0"/>
        <v>Secondary Hydraulic Fault ACK,,BitAddress,PLC1,012299,,</v>
      </c>
    </row>
    <row r="17" spans="1:11" x14ac:dyDescent="0.3">
      <c r="A17" t="str">
        <f>'Point List'!C14</f>
        <v>Enable Pump Cycling</v>
      </c>
      <c r="C17" t="str">
        <f>'Point List'!L14</f>
        <v>BitAddress</v>
      </c>
      <c r="D17" t="s">
        <v>313</v>
      </c>
      <c r="E17" t="str">
        <f>'Point List'!J14</f>
        <v>012300</v>
      </c>
      <c r="K17" t="str">
        <f t="shared" si="0"/>
        <v>Enable Pump Cycling,,BitAddress,PLC1,012300,,</v>
      </c>
    </row>
    <row r="18" spans="1:11" x14ac:dyDescent="0.3">
      <c r="A18" t="str">
        <f>'Point List'!C15</f>
        <v>Reset Pump Differential Signal</v>
      </c>
      <c r="C18" t="str">
        <f>'Point List'!L15</f>
        <v>BitAddress</v>
      </c>
      <c r="D18" t="s">
        <v>313</v>
      </c>
      <c r="E18" t="str">
        <f>'Point List'!J15</f>
        <v>012301</v>
      </c>
      <c r="K18" t="str">
        <f t="shared" si="0"/>
        <v>Reset Pump Differential Signal,,BitAddress,PLC1,012301,,</v>
      </c>
    </row>
    <row r="19" spans="1:11" x14ac:dyDescent="0.3">
      <c r="A19" t="str">
        <f>'Point List'!C16</f>
        <v>Fault ACK</v>
      </c>
      <c r="C19" t="str">
        <f>'Point List'!L16</f>
        <v>BitAddress</v>
      </c>
      <c r="D19" t="s">
        <v>313</v>
      </c>
      <c r="E19" t="str">
        <f>'Point List'!J16</f>
        <v>012302</v>
      </c>
      <c r="K19" t="str">
        <f t="shared" si="0"/>
        <v>Fault 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313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313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 On</v>
      </c>
      <c r="C22" t="str">
        <f>'Point List'!L19</f>
        <v>BitAddress</v>
      </c>
      <c r="D22" t="s">
        <v>313</v>
      </c>
      <c r="E22" t="str">
        <f>'Point List'!J19</f>
        <v>012305</v>
      </c>
      <c r="K22" t="str">
        <f t="shared" si="0"/>
        <v>System On,,BitAddress,PLC1,012305,,</v>
      </c>
    </row>
    <row r="23" spans="1:11" x14ac:dyDescent="0.3">
      <c r="A23" t="str">
        <f>'Point List'!C20</f>
        <v>System Shutting Down</v>
      </c>
      <c r="C23" t="str">
        <f>'Point List'!L20</f>
        <v>BitAddress</v>
      </c>
      <c r="D23" t="s">
        <v>313</v>
      </c>
      <c r="E23" t="str">
        <f>'Point List'!J20</f>
        <v>012306</v>
      </c>
      <c r="K23" t="str">
        <f t="shared" si="0"/>
        <v>System Shutting Down,,BitAddress,PLC1,012306,,</v>
      </c>
    </row>
    <row r="24" spans="1:11" x14ac:dyDescent="0.3">
      <c r="A24" t="str">
        <f>'Point List'!C21</f>
        <v>System Initializing</v>
      </c>
      <c r="C24" t="str">
        <f>'Point List'!L21</f>
        <v>BitAddress</v>
      </c>
      <c r="D24" t="s">
        <v>313</v>
      </c>
      <c r="E24" t="str">
        <f>'Point List'!J21</f>
        <v>012307</v>
      </c>
      <c r="K24" t="str">
        <f t="shared" si="0"/>
        <v>System Initializing,,BitAddress,PLC1,012307,,</v>
      </c>
    </row>
    <row r="25" spans="1:11" x14ac:dyDescent="0.3">
      <c r="A25" t="str">
        <f>'Point List'!C22</f>
        <v>System Calibrating</v>
      </c>
      <c r="C25" t="str">
        <f>'Point List'!L22</f>
        <v>BitAddress</v>
      </c>
      <c r="D25" t="s">
        <v>313</v>
      </c>
      <c r="E25" t="str">
        <f>'Point List'!J22</f>
        <v>012308</v>
      </c>
      <c r="K25" t="str">
        <f t="shared" si="0"/>
        <v>System Calibrating,,BitAddress,PLC1,012308,,</v>
      </c>
    </row>
    <row r="26" spans="1:11" x14ac:dyDescent="0.3">
      <c r="A26" t="str">
        <f>'Point List'!C23</f>
        <v>Measured Pump Power</v>
      </c>
      <c r="C26" t="str">
        <f>'Point List'!L23</f>
        <v>WordAddress</v>
      </c>
      <c r="D26" t="s">
        <v>313</v>
      </c>
      <c r="E26" t="str">
        <f>'Point List'!J23</f>
        <v>412557</v>
      </c>
      <c r="K26" t="str">
        <f t="shared" si="0"/>
        <v>Measured Pump Power,,WordAddress,PLC1,412557,,</v>
      </c>
    </row>
    <row r="27" spans="1:11" x14ac:dyDescent="0.3">
      <c r="A27" t="str">
        <f>'Point List'!C24</f>
        <v>Measured Inlet Coolant Temperature</v>
      </c>
      <c r="C27" t="str">
        <f>'Point List'!L24</f>
        <v>WordAddress</v>
      </c>
      <c r="D27" t="s">
        <v>313</v>
      </c>
      <c r="E27" t="str">
        <f>'Point List'!J24</f>
        <v>412559</v>
      </c>
      <c r="K27" t="str">
        <f t="shared" si="0"/>
        <v>Measured Inlet Coolant Temperature,,WordAddress,PLC1,412559,,</v>
      </c>
    </row>
    <row r="28" spans="1:11" x14ac:dyDescent="0.3">
      <c r="A28" t="str">
        <f>'Point List'!C25</f>
        <v>Measured Conductivity</v>
      </c>
      <c r="C28" t="str">
        <f>'Point List'!L25</f>
        <v>WordAddress</v>
      </c>
      <c r="D28" t="s">
        <v>313</v>
      </c>
      <c r="E28" t="str">
        <f>'Point List'!J25</f>
        <v>412561</v>
      </c>
      <c r="K28" t="str">
        <f t="shared" si="0"/>
        <v>Measured Conductivity,,WordAddress,PLC1,412561,,</v>
      </c>
    </row>
    <row r="29" spans="1:11" x14ac:dyDescent="0.3">
      <c r="A29" t="str">
        <f>'Point List'!C26</f>
        <v>Measured Flow</v>
      </c>
      <c r="C29" t="str">
        <f>'Point List'!L26</f>
        <v>WordAddress</v>
      </c>
      <c r="D29" t="s">
        <v>313</v>
      </c>
      <c r="E29" t="str">
        <f>'Point List'!J26</f>
        <v>412563</v>
      </c>
      <c r="K29" t="str">
        <f t="shared" si="0"/>
        <v>Measured Flow,,WordAddress,PLC1,412563,,</v>
      </c>
    </row>
    <row r="30" spans="1:11" x14ac:dyDescent="0.3">
      <c r="A30" t="str">
        <f>'Point List'!C27</f>
        <v>Valve Open Percentage</v>
      </c>
      <c r="C30" t="str">
        <f>'Point List'!L27</f>
        <v>WordAddress</v>
      </c>
      <c r="D30" t="s">
        <v>313</v>
      </c>
      <c r="E30" t="str">
        <f>'Point List'!J27</f>
        <v>412565</v>
      </c>
      <c r="K30" t="str">
        <f t="shared" si="0"/>
        <v>Valve Open Percentage,,WordAddress,PLC1,412565,,</v>
      </c>
    </row>
    <row r="31" spans="1:11" x14ac:dyDescent="0.3">
      <c r="A31" t="str">
        <f>'Point List'!C28</f>
        <v>Real RTD 1 Signal</v>
      </c>
      <c r="C31" t="str">
        <f>'Point List'!L28</f>
        <v>WordAddress</v>
      </c>
      <c r="D31" t="s">
        <v>313</v>
      </c>
      <c r="E31" t="str">
        <f>'Point List'!J28</f>
        <v>412567</v>
      </c>
      <c r="K31" t="str">
        <f t="shared" si="0"/>
        <v>Real RTD 1 Signal,,WordAddress,PLC1,412567,,</v>
      </c>
    </row>
    <row r="32" spans="1:11" x14ac:dyDescent="0.3">
      <c r="A32" t="str">
        <f>'Point List'!C29</f>
        <v>Real RTD 2 Signal</v>
      </c>
      <c r="C32" t="str">
        <f>'Point List'!L29</f>
        <v>WordAddress</v>
      </c>
      <c r="D32" t="s">
        <v>313</v>
      </c>
      <c r="E32" t="str">
        <f>'Point List'!J29</f>
        <v>412569</v>
      </c>
      <c r="K32" t="str">
        <f t="shared" si="0"/>
        <v>Real RTD 2 Signal,,WordAddress,PLC1,412569,,</v>
      </c>
    </row>
    <row r="33" spans="1:11" x14ac:dyDescent="0.3">
      <c r="A33" t="str">
        <f>'Point List'!C30</f>
        <v>Real RTD 3 Signal</v>
      </c>
      <c r="C33" t="str">
        <f>'Point List'!L30</f>
        <v>WordAddress</v>
      </c>
      <c r="D33" t="s">
        <v>313</v>
      </c>
      <c r="E33" t="str">
        <f>'Point List'!J30</f>
        <v>412571</v>
      </c>
      <c r="K33" t="str">
        <f t="shared" si="0"/>
        <v>Real RTD 3 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313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 xml:space="preserve">Measured Valve Position </v>
      </c>
      <c r="C35" t="str">
        <f>'Point List'!L32</f>
        <v>WordAddress</v>
      </c>
      <c r="D35" t="s">
        <v>313</v>
      </c>
      <c r="E35" t="str">
        <f>'Point List'!J32</f>
        <v>412575</v>
      </c>
      <c r="K35" t="str">
        <f t="shared" si="0"/>
        <v>Measured Valve Position ,,WordAddress,PLC1,412575,,</v>
      </c>
    </row>
    <row r="36" spans="1:11" x14ac:dyDescent="0.3">
      <c r="A36" t="str">
        <f>'Point List'!C33</f>
        <v>Debounced Water Level Low Signal</v>
      </c>
      <c r="C36" t="str">
        <f>'Point List'!L33</f>
        <v>WordAddress</v>
      </c>
      <c r="D36" t="s">
        <v>313</v>
      </c>
      <c r="E36" t="str">
        <f>'Point List'!J33</f>
        <v>012309</v>
      </c>
      <c r="K36" t="str">
        <f t="shared" si="0"/>
        <v>Debounced Water Level Low Signal,,WordAddress,PLC1,012309,,</v>
      </c>
    </row>
    <row r="37" spans="1:11" x14ac:dyDescent="0.3">
      <c r="A37" t="str">
        <f>'Point List'!C34</f>
        <v>Debounced Water Level Low Low Signal</v>
      </c>
      <c r="C37">
        <f>'Point List'!L34</f>
        <v>0</v>
      </c>
      <c r="D37" t="s">
        <v>313</v>
      </c>
      <c r="E37" t="str">
        <f>'Point List'!J34</f>
        <v>012310</v>
      </c>
      <c r="K37" t="str">
        <f t="shared" si="0"/>
        <v>Debounced Water Level Low Low Signal,,0,PLC1,012310,,</v>
      </c>
    </row>
    <row r="38" spans="1:11" x14ac:dyDescent="0.3">
      <c r="A38" t="str">
        <f>'Point List'!C35</f>
        <v>Debounced Pressure Signal</v>
      </c>
      <c r="C38">
        <f>'Point List'!L35</f>
        <v>0</v>
      </c>
      <c r="D38" t="s">
        <v>313</v>
      </c>
      <c r="E38" t="str">
        <f>'Point List'!J35</f>
        <v>012311</v>
      </c>
      <c r="K38" t="str">
        <f t="shared" si="0"/>
        <v>Debounced Pressure Signal,,0,PLC1,012311,,</v>
      </c>
    </row>
    <row r="39" spans="1:11" x14ac:dyDescent="0.3">
      <c r="A39" t="str">
        <f>'Point List'!C36</f>
        <v>Debounced Conductivity Alarm Signal</v>
      </c>
      <c r="C39">
        <f>'Point List'!L36</f>
        <v>0</v>
      </c>
      <c r="D39" t="s">
        <v>313</v>
      </c>
      <c r="E39" t="str">
        <f>'Point List'!J36</f>
        <v>012312</v>
      </c>
      <c r="K39" t="str">
        <f t="shared" si="0"/>
        <v>Debounced Conductivity Alarm Signal,,0,PLC1,012312,,</v>
      </c>
    </row>
    <row r="40" spans="1:11" x14ac:dyDescent="0.3">
      <c r="A40" t="str">
        <f>'Point List'!C37</f>
        <v>Debounced Conductivity Fault Signal</v>
      </c>
      <c r="C40">
        <f>'Point List'!L37</f>
        <v>0</v>
      </c>
      <c r="D40" t="s">
        <v>313</v>
      </c>
      <c r="E40" t="str">
        <f>'Point List'!J37</f>
        <v>012313</v>
      </c>
      <c r="K40" t="str">
        <f t="shared" si="0"/>
        <v>Debounced Conductivity Fault Signal,,0,PLC1,012313,,</v>
      </c>
    </row>
    <row r="41" spans="1:11" x14ac:dyDescent="0.3">
      <c r="A41" t="str">
        <f>'Point List'!C38</f>
        <v>Output Water Level Low Signal</v>
      </c>
      <c r="C41" t="str">
        <f>'Point List'!L38</f>
        <v>BitAddress</v>
      </c>
      <c r="D41" t="s">
        <v>313</v>
      </c>
      <c r="E41" t="str">
        <f>'Point List'!J38</f>
        <v>012314</v>
      </c>
      <c r="K41" t="str">
        <f t="shared" si="0"/>
        <v>Output Water Level Low Signal,,BitAddress,PLC1,012314,,</v>
      </c>
    </row>
    <row r="42" spans="1:11" x14ac:dyDescent="0.3">
      <c r="A42" t="str">
        <f>'Point List'!C39</f>
        <v>Output Water Level Low Low Signal</v>
      </c>
      <c r="C42" t="str">
        <f>'Point List'!L39</f>
        <v>BitAddress</v>
      </c>
      <c r="D42" t="s">
        <v>313</v>
      </c>
      <c r="E42" t="str">
        <f>'Point List'!J39</f>
        <v>012315</v>
      </c>
      <c r="K42" t="str">
        <f t="shared" si="0"/>
        <v>Output Water Level Low Low Signal,,BitAddress,PLC1,012315,,</v>
      </c>
    </row>
    <row r="43" spans="1:11" x14ac:dyDescent="0.3">
      <c r="A43" t="str">
        <f>'Point List'!C40</f>
        <v>Output Pressure Signal</v>
      </c>
      <c r="C43" t="str">
        <f>'Point List'!L40</f>
        <v>BitAddress</v>
      </c>
      <c r="D43" t="s">
        <v>313</v>
      </c>
      <c r="E43" t="str">
        <f>'Point List'!J40</f>
        <v>012316</v>
      </c>
      <c r="K43" t="str">
        <f t="shared" si="0"/>
        <v>Output Pressure Signal,,BitAddress,PLC1,012316,,</v>
      </c>
    </row>
    <row r="44" spans="1:11" x14ac:dyDescent="0.3">
      <c r="A44" t="str">
        <f>'Point List'!C41</f>
        <v>Output Conductivity Alarm Signal</v>
      </c>
      <c r="C44" t="str">
        <f>'Point List'!L41</f>
        <v>BitAddress</v>
      </c>
      <c r="D44" t="s">
        <v>313</v>
      </c>
      <c r="E44" t="str">
        <f>'Point List'!J41</f>
        <v>012317</v>
      </c>
      <c r="K44" t="str">
        <f t="shared" si="0"/>
        <v>Output Conductivity Alarm Signal,,BitAddress,PLC1,012317,,</v>
      </c>
    </row>
    <row r="45" spans="1:11" x14ac:dyDescent="0.3">
      <c r="A45" t="str">
        <f>'Point List'!C42</f>
        <v>Output Conductivity Fault Signal</v>
      </c>
      <c r="C45" t="str">
        <f>'Point List'!L42</f>
        <v>BitAddress</v>
      </c>
      <c r="D45" t="s">
        <v>313</v>
      </c>
      <c r="E45" t="str">
        <f>'Point List'!J42</f>
        <v>012318</v>
      </c>
      <c r="K45" t="str">
        <f t="shared" si="0"/>
        <v>Output Conductivity Fault Signal,,BitAddress,PLC1,012318,,</v>
      </c>
    </row>
    <row r="46" spans="1:11" x14ac:dyDescent="0.3">
      <c r="A46" t="str">
        <f>'Point List'!C43</f>
        <v>Differential Pump Hours</v>
      </c>
      <c r="C46">
        <f>'Point List'!L43</f>
        <v>0</v>
      </c>
      <c r="D46" t="s">
        <v>313</v>
      </c>
      <c r="E46" t="str">
        <f>'Point List'!J43</f>
        <v>012453</v>
      </c>
      <c r="K46" t="str">
        <f t="shared" si="0"/>
        <v>Differential Pump Hours,,0,PLC1,012453,,</v>
      </c>
    </row>
    <row r="47" spans="1:11" x14ac:dyDescent="0.3">
      <c r="A47" t="str">
        <f>'Point List'!C44</f>
        <v>System Pulse</v>
      </c>
      <c r="C47">
        <f>'Point List'!L44</f>
        <v>0</v>
      </c>
      <c r="D47" t="s">
        <v>313</v>
      </c>
      <c r="E47" t="str">
        <f>'Point List'!J44</f>
        <v>012319</v>
      </c>
      <c r="K47" t="str">
        <f t="shared" si="0"/>
        <v>System Pulse,,0,PLC1,012319,,</v>
      </c>
    </row>
    <row r="48" spans="1:11" x14ac:dyDescent="0.3">
      <c r="A48" t="str">
        <f>'Point List'!C45</f>
        <v>Measured Active Pump  Voltage</v>
      </c>
      <c r="C48" t="str">
        <f>'Point List'!L45</f>
        <v>WordAddress</v>
      </c>
      <c r="D48" t="s">
        <v>313</v>
      </c>
      <c r="E48" t="str">
        <f>'Point List'!J45</f>
        <v>412577</v>
      </c>
      <c r="K48" t="str">
        <f t="shared" si="0"/>
        <v>Measured Active Pump  Voltage,,WordAddress,PLC1,412577,,</v>
      </c>
    </row>
    <row r="49" spans="1:11" x14ac:dyDescent="0.3">
      <c r="A49" t="str">
        <f>'Point List'!C46</f>
        <v>Measured Active Pump  Current</v>
      </c>
      <c r="C49" t="str">
        <f>'Point List'!L46</f>
        <v>WordAddress</v>
      </c>
      <c r="D49" t="s">
        <v>313</v>
      </c>
      <c r="E49" t="str">
        <f>'Point List'!J46</f>
        <v>412579</v>
      </c>
      <c r="K49" t="str">
        <f t="shared" si="0"/>
        <v>Measured Active Pump  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313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313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 1 Total Hours</v>
      </c>
      <c r="C52" t="str">
        <f>'Point List'!L49</f>
        <v>WordAddress</v>
      </c>
      <c r="D52" t="s">
        <v>313</v>
      </c>
      <c r="E52" t="str">
        <f>'Point List'!J49</f>
        <v>412455</v>
      </c>
      <c r="K52" t="str">
        <f t="shared" si="0"/>
        <v>Pump 1 Total Hours,,WordAddress,PLC1,412455,,</v>
      </c>
    </row>
    <row r="53" spans="1:11" x14ac:dyDescent="0.3">
      <c r="A53" t="str">
        <f>'Point List'!C50</f>
        <v>Pump 2 Total Hours</v>
      </c>
      <c r="C53" t="str">
        <f>'Point List'!L50</f>
        <v>WordAddress</v>
      </c>
      <c r="D53" t="s">
        <v>313</v>
      </c>
      <c r="E53" t="str">
        <f>'Point List'!J50</f>
        <v>412457</v>
      </c>
      <c r="K53" t="str">
        <f t="shared" si="0"/>
        <v>Pump 2 Total Hours,,WordAddress,PLC1,412457,,</v>
      </c>
    </row>
    <row r="54" spans="1:11" x14ac:dyDescent="0.3">
      <c r="A54" t="str">
        <f>'Point List'!C51</f>
        <v xml:space="preserve">High Coolant Temperature </v>
      </c>
      <c r="C54" t="str">
        <f>'Point List'!L51</f>
        <v>BitAddress</v>
      </c>
      <c r="D54" t="s">
        <v>313</v>
      </c>
      <c r="E54" t="str">
        <f>'Point List'!J51</f>
        <v>012320</v>
      </c>
      <c r="K54" t="str">
        <f t="shared" si="0"/>
        <v>High Coolant Temperature ,,BitAddress,PLC1,012320,,</v>
      </c>
    </row>
    <row r="55" spans="1:11" x14ac:dyDescent="0.3">
      <c r="A55" t="str">
        <f>'Point List'!C52</f>
        <v>Low Coolant Level in Vessel</v>
      </c>
      <c r="C55" t="str">
        <f>'Point List'!L52</f>
        <v>BitAddress</v>
      </c>
      <c r="D55" t="s">
        <v>313</v>
      </c>
      <c r="E55" t="str">
        <f>'Point List'!J52</f>
        <v>012321</v>
      </c>
      <c r="K55" t="str">
        <f t="shared" si="0"/>
        <v>Low Coolant Level in Vessel,,BitAddress,PLC1,012321,,</v>
      </c>
    </row>
    <row r="56" spans="1:11" x14ac:dyDescent="0.3">
      <c r="A56" t="str">
        <f>'Point List'!C53</f>
        <v xml:space="preserve">High Coolant Conductivity </v>
      </c>
      <c r="C56" t="str">
        <f>'Point List'!L53</f>
        <v>BitAddress</v>
      </c>
      <c r="D56" t="s">
        <v>313</v>
      </c>
      <c r="E56" t="str">
        <f>'Point List'!J53</f>
        <v>012322</v>
      </c>
      <c r="K56" t="str">
        <f t="shared" si="0"/>
        <v>High Coolant Conductivity ,,BitAddress,PLC1,012322,,</v>
      </c>
    </row>
    <row r="57" spans="1:11" x14ac:dyDescent="0.3">
      <c r="A57" t="str">
        <f>'Point List'!C54</f>
        <v>Low Hydraulic Power</v>
      </c>
      <c r="C57" t="str">
        <f>'Point List'!L54</f>
        <v>BitAddress</v>
      </c>
      <c r="D57" t="s">
        <v>313</v>
      </c>
      <c r="E57" t="str">
        <f>'Point List'!J54</f>
        <v>012323</v>
      </c>
      <c r="K57" t="str">
        <f t="shared" si="0"/>
        <v>Low Hydraulic Power,,BitAddress,PLC1,012323,,</v>
      </c>
    </row>
    <row r="58" spans="1:11" x14ac:dyDescent="0.3">
      <c r="A58" t="str">
        <f>'Point List'!C55</f>
        <v>Low Hydraulic Flow</v>
      </c>
      <c r="C58" t="str">
        <f>'Point List'!L55</f>
        <v>BitAddress</v>
      </c>
      <c r="D58" t="s">
        <v>313</v>
      </c>
      <c r="E58" t="str">
        <f>'Point List'!J55</f>
        <v>012324</v>
      </c>
      <c r="K58" t="str">
        <f t="shared" si="0"/>
        <v>Low Hydraulic Flow,,BitAddress,PLC1,012324,,</v>
      </c>
    </row>
    <row r="59" spans="1:11" x14ac:dyDescent="0.3">
      <c r="A59" t="str">
        <f>'Point List'!C56</f>
        <v>Low Hydraulic Pressure</v>
      </c>
      <c r="C59" t="str">
        <f>'Point List'!L56</f>
        <v>BitAddress</v>
      </c>
      <c r="D59" t="s">
        <v>313</v>
      </c>
      <c r="E59" t="str">
        <f>'Point List'!J56</f>
        <v>012325</v>
      </c>
      <c r="K59" t="str">
        <f t="shared" si="0"/>
        <v>Low Hydraulic Pressure,,BitAddress,PLC1,012325,,</v>
      </c>
    </row>
    <row r="60" spans="1:11" x14ac:dyDescent="0.3">
      <c r="A60" t="str">
        <f>'Point List'!C57</f>
        <v>Voltage Signal Malfunction</v>
      </c>
      <c r="C60" t="str">
        <f>'Point List'!L57</f>
        <v>BitAddress</v>
      </c>
      <c r="D60" t="s">
        <v>313</v>
      </c>
      <c r="E60" t="str">
        <f>'Point List'!J57</f>
        <v>012326</v>
      </c>
      <c r="K60" t="str">
        <f t="shared" si="0"/>
        <v>Voltage Signal Malfunction,,BitAddress,PLC1,012326,,</v>
      </c>
    </row>
    <row r="61" spans="1:11" x14ac:dyDescent="0.3">
      <c r="A61" t="str">
        <f>'Point List'!C58</f>
        <v>Current Signal Malfunction</v>
      </c>
      <c r="C61" t="str">
        <f>'Point List'!L58</f>
        <v>BitAddress</v>
      </c>
      <c r="D61" t="s">
        <v>313</v>
      </c>
      <c r="E61" t="str">
        <f>'Point List'!J58</f>
        <v>012327</v>
      </c>
      <c r="K61" t="str">
        <f t="shared" si="0"/>
        <v>Current Signal Malfunction,,BitAddress,PLC1,012327,,</v>
      </c>
    </row>
    <row r="62" spans="1:11" x14ac:dyDescent="0.3">
      <c r="A62" t="str">
        <f>'Point List'!C59</f>
        <v>Primary Hydraulic Failure</v>
      </c>
      <c r="C62" t="str">
        <f>'Point List'!L59</f>
        <v>BitAddress</v>
      </c>
      <c r="D62" t="s">
        <v>313</v>
      </c>
      <c r="E62" t="str">
        <f>'Point List'!J59</f>
        <v>012328</v>
      </c>
      <c r="K62" t="str">
        <f t="shared" si="0"/>
        <v>Primary Hydraulic Failure,,BitAddress,PLC1,012328,,</v>
      </c>
    </row>
    <row r="63" spans="1:11" x14ac:dyDescent="0.3">
      <c r="A63" t="str">
        <f>'Point List'!C60</f>
        <v>Secondary Hydraulic Failure</v>
      </c>
      <c r="C63" t="str">
        <f>'Point List'!L60</f>
        <v>BitAddress</v>
      </c>
      <c r="D63" t="s">
        <v>313</v>
      </c>
      <c r="E63" t="str">
        <f>'Point List'!J60</f>
        <v>012329</v>
      </c>
      <c r="K63" t="str">
        <f t="shared" si="0"/>
        <v>Secondary Hydraulic Failure,,BitAddress,PLC1,012329,,</v>
      </c>
    </row>
    <row r="64" spans="1:11" x14ac:dyDescent="0.3">
      <c r="A64" t="str">
        <f>'Point List'!C61</f>
        <v>Automatic Valve Control Disabled</v>
      </c>
      <c r="C64" t="str">
        <f>'Point List'!L61</f>
        <v>BitAddress</v>
      </c>
      <c r="D64" t="s">
        <v>313</v>
      </c>
      <c r="E64" t="str">
        <f>'Point List'!J61</f>
        <v>012330</v>
      </c>
      <c r="K64" t="str">
        <f t="shared" si="0"/>
        <v>Automatic Valve Control Disabled,,BitAddress,PLC1,012330,,</v>
      </c>
    </row>
    <row r="65" spans="1:11" x14ac:dyDescent="0.3">
      <c r="A65" t="str">
        <f>'Point List'!C62</f>
        <v>Automatic Fan Control Disabled</v>
      </c>
      <c r="C65" t="str">
        <f>'Point List'!L62</f>
        <v>BitAddress</v>
      </c>
      <c r="D65" t="s">
        <v>313</v>
      </c>
      <c r="E65" t="str">
        <f>'Point List'!J62</f>
        <v>012331</v>
      </c>
      <c r="K65" t="str">
        <f t="shared" si="0"/>
        <v>Automatic Fan Control Disabled,,BitAddress,PLC1,012331,,</v>
      </c>
    </row>
    <row r="66" spans="1:11" x14ac:dyDescent="0.3">
      <c r="A66" t="str">
        <f>'Point List'!C63</f>
        <v>Flow Signal Malfunction</v>
      </c>
      <c r="C66" t="str">
        <f>'Point List'!L63</f>
        <v>BitAddress</v>
      </c>
      <c r="D66" t="s">
        <v>313</v>
      </c>
      <c r="E66" t="str">
        <f>'Point List'!J63</f>
        <v>012332</v>
      </c>
      <c r="K66" t="str">
        <f t="shared" si="0"/>
        <v>Flow Signal Malfunction,,BitAddress,PLC1,012332,,</v>
      </c>
    </row>
    <row r="67" spans="1:11" x14ac:dyDescent="0.3">
      <c r="A67" t="str">
        <f>'Point List'!C64</f>
        <v>Bad RTD 1 Signal</v>
      </c>
      <c r="C67" t="str">
        <f>'Point List'!L64</f>
        <v>BitAddress</v>
      </c>
      <c r="D67" t="s">
        <v>313</v>
      </c>
      <c r="E67" t="str">
        <f>'Point List'!J64</f>
        <v>012333</v>
      </c>
      <c r="K67" t="str">
        <f t="shared" si="0"/>
        <v>Bad RTD 1 Signal,,BitAddress,PLC1,012333,,</v>
      </c>
    </row>
    <row r="68" spans="1:11" x14ac:dyDescent="0.3">
      <c r="A68" t="str">
        <f>'Point List'!C65</f>
        <v>Bad RTD 2 Signal</v>
      </c>
      <c r="C68" t="str">
        <f>'Point List'!L65</f>
        <v>BitAddress</v>
      </c>
      <c r="D68" t="s">
        <v>313</v>
      </c>
      <c r="E68" t="str">
        <f>'Point List'!J65</f>
        <v>012334</v>
      </c>
      <c r="K68" t="str">
        <f t="shared" si="0"/>
        <v>Bad RTD 2 Signal,,BitAddress,PLC1,012334,,</v>
      </c>
    </row>
    <row r="69" spans="1:11" x14ac:dyDescent="0.3">
      <c r="A69" t="str">
        <f>'Point List'!C66</f>
        <v>Bad RTD 3 Signal</v>
      </c>
      <c r="C69" t="str">
        <f>'Point List'!L66</f>
        <v>BitAddress</v>
      </c>
      <c r="D69" t="s">
        <v>313</v>
      </c>
      <c r="E69" t="str">
        <f>'Point List'!J66</f>
        <v>012335</v>
      </c>
      <c r="K69" t="str">
        <f t="shared" si="0"/>
        <v>Bad RTD 3 Signal,,BitAddress,PLC1,012335,,</v>
      </c>
    </row>
    <row r="70" spans="1:11" x14ac:dyDescent="0.3">
      <c r="A70" t="str">
        <f>'Point List'!C67</f>
        <v>Pump Cycle Alarm</v>
      </c>
      <c r="C70" t="str">
        <f>'Point List'!L67</f>
        <v>BitAddress</v>
      </c>
      <c r="D70" t="s">
        <v>313</v>
      </c>
      <c r="E70" t="str">
        <f>'Point List'!J67</f>
        <v>012336</v>
      </c>
      <c r="K70" t="str">
        <f t="shared" si="0"/>
        <v>Pump Cycle Alarm,,BitAddress,PLC1,012336,,</v>
      </c>
    </row>
    <row r="71" spans="1:11" x14ac:dyDescent="0.3">
      <c r="A71" t="str">
        <f>'Point List'!C68</f>
        <v>Critical Temperature</v>
      </c>
      <c r="C71" t="str">
        <f>'Point List'!L68</f>
        <v>BitAddress</v>
      </c>
      <c r="D71" t="s">
        <v>313</v>
      </c>
      <c r="E71" t="str">
        <f>'Point List'!J68</f>
        <v>012337</v>
      </c>
      <c r="K71" t="str">
        <f t="shared" ref="K71:K107" si="1">_xlfn.CONCAT(A71,",",B71,",",C71,",",D71,",",E71,",",F71,",",G71)</f>
        <v>Critical Temperature,,BitAddress,PLC1,012337,,</v>
      </c>
    </row>
    <row r="72" spans="1:11" x14ac:dyDescent="0.3">
      <c r="A72" t="str">
        <f>'Point List'!C69</f>
        <v>Critical Vessel Level</v>
      </c>
      <c r="C72" t="str">
        <f>'Point List'!L69</f>
        <v>BitAddress</v>
      </c>
      <c r="D72" t="s">
        <v>313</v>
      </c>
      <c r="E72" t="str">
        <f>'Point List'!J69</f>
        <v>012338</v>
      </c>
      <c r="K72" t="str">
        <f t="shared" si="1"/>
        <v>Critical Vessel Level,,BitAddress,PLC1,012338,,</v>
      </c>
    </row>
    <row r="73" spans="1:11" x14ac:dyDescent="0.3">
      <c r="A73" t="str">
        <f>'Point List'!C70</f>
        <v>Critical Conductivity</v>
      </c>
      <c r="C73" t="str">
        <f>'Point List'!L70</f>
        <v>BitAddress</v>
      </c>
      <c r="D73" t="s">
        <v>313</v>
      </c>
      <c r="E73" t="str">
        <f>'Point List'!J70</f>
        <v>012339</v>
      </c>
      <c r="K73" t="str">
        <f t="shared" si="1"/>
        <v>Critical Conductivity,,BitAddress,PLC1,012339,,</v>
      </c>
    </row>
    <row r="74" spans="1:11" x14ac:dyDescent="0.3">
      <c r="A74" t="str">
        <f>'Point List'!C71</f>
        <v>Level Sensor Malfunction</v>
      </c>
      <c r="C74" t="str">
        <f>'Point List'!L71</f>
        <v>BitAddress</v>
      </c>
      <c r="D74" t="s">
        <v>313</v>
      </c>
      <c r="E74" t="str">
        <f>'Point List'!J71</f>
        <v>012340</v>
      </c>
      <c r="K74" t="str">
        <f t="shared" si="1"/>
        <v>Level Sensor Malfunction,,BitAddress,PLC1,012340,,</v>
      </c>
    </row>
    <row r="75" spans="1:11" x14ac:dyDescent="0.3">
      <c r="A75" t="str">
        <f>'Point List'!C72</f>
        <v>Conductivity Sensor Malfunction</v>
      </c>
      <c r="C75" t="str">
        <f>'Point List'!L72</f>
        <v>BitAddress</v>
      </c>
      <c r="D75" t="s">
        <v>313</v>
      </c>
      <c r="E75" t="str">
        <f>'Point List'!J72</f>
        <v>012341</v>
      </c>
      <c r="K75" t="str">
        <f t="shared" si="1"/>
        <v>Conductivity Sensor Malfunction,,BitAddress,PLC1,012341,,</v>
      </c>
    </row>
    <row r="76" spans="1:11" x14ac:dyDescent="0.3">
      <c r="A76" t="str">
        <f>'Point List'!C73</f>
        <v>Bingo Pumps</v>
      </c>
      <c r="C76" t="str">
        <f>'Point List'!L73</f>
        <v>BitAddress</v>
      </c>
      <c r="D76" t="s">
        <v>313</v>
      </c>
      <c r="E76" t="str">
        <f>'Point List'!J73</f>
        <v>012342</v>
      </c>
      <c r="K76" t="str">
        <f t="shared" si="1"/>
        <v>Bingo Pumps,,BitAddress,PLC1,012342,,</v>
      </c>
    </row>
    <row r="77" spans="1:11" x14ac:dyDescent="0.3">
      <c r="A77" t="str">
        <f>'Point List'!C74</f>
        <v>Temperature Sensor Malfunction</v>
      </c>
      <c r="C77" t="str">
        <f>'Point List'!L74</f>
        <v>BitAddress</v>
      </c>
      <c r="D77" t="s">
        <v>313</v>
      </c>
      <c r="E77" t="str">
        <f>'Point List'!J74</f>
        <v>012343</v>
      </c>
      <c r="K77" t="str">
        <f t="shared" si="1"/>
        <v>Temperature Sensor Malfunction,,BitAddress,PLC1,012343,,</v>
      </c>
    </row>
    <row r="78" spans="1:11" x14ac:dyDescent="0.3">
      <c r="A78" t="str">
        <f>'Point List'!C75</f>
        <v>Bad Valve Pos</v>
      </c>
      <c r="C78" t="str">
        <f>'Point List'!L75</f>
        <v>BitAddress</v>
      </c>
      <c r="D78" t="s">
        <v>313</v>
      </c>
      <c r="E78" t="str">
        <f>'Point List'!J75</f>
        <v>012344</v>
      </c>
      <c r="K78" t="str">
        <f t="shared" si="1"/>
        <v>Bad Valve Pos,,BitAddress,PLC1,012344,,</v>
      </c>
    </row>
    <row r="79" spans="1:11" x14ac:dyDescent="0.3">
      <c r="A79" t="str">
        <f>'Point List'!C76</f>
        <v>Master Fault Signal</v>
      </c>
      <c r="C79" t="str">
        <f>'Point List'!L76</f>
        <v>BitAddress</v>
      </c>
      <c r="D79" t="s">
        <v>313</v>
      </c>
      <c r="E79" t="str">
        <f>'Point List'!J76</f>
        <v>012345</v>
      </c>
      <c r="K79" t="str">
        <f t="shared" si="1"/>
        <v>Master Fault Signal,,BitAddress,PLC1,012345,,</v>
      </c>
    </row>
    <row r="80" spans="1:11" x14ac:dyDescent="0.3">
      <c r="A80" t="str">
        <f>'Point List'!C77</f>
        <v>Conductivity Analog</v>
      </c>
      <c r="C80">
        <f>'Point List'!L77</f>
        <v>0</v>
      </c>
      <c r="D80" t="s">
        <v>313</v>
      </c>
      <c r="E80" t="str">
        <f>'Point List'!J77</f>
        <v>NOT ACCESSIBLE</v>
      </c>
      <c r="K80" t="str">
        <f t="shared" si="1"/>
        <v>Conductivity Analog,,0,PLC1,NOT ACCESSIBLE,,</v>
      </c>
    </row>
    <row r="81" spans="1:11" x14ac:dyDescent="0.3">
      <c r="A81" t="str">
        <f>'Point List'!C78</f>
        <v>RTD 1</v>
      </c>
      <c r="C81">
        <f>'Point List'!L78</f>
        <v>0</v>
      </c>
      <c r="D81" t="s">
        <v>313</v>
      </c>
      <c r="E81" t="str">
        <f>'Point List'!J78</f>
        <v>NOT ACCESSIBLE</v>
      </c>
      <c r="K81" t="str">
        <f t="shared" si="1"/>
        <v>RTD 1,,0,PLC1,NOT ACCESSIBLE,,</v>
      </c>
    </row>
    <row r="82" spans="1:11" x14ac:dyDescent="0.3">
      <c r="A82" t="str">
        <f>'Point List'!C79</f>
        <v>RTD 2</v>
      </c>
      <c r="C82">
        <f>'Point List'!L79</f>
        <v>0</v>
      </c>
      <c r="D82" t="s">
        <v>313</v>
      </c>
      <c r="E82" t="str">
        <f>'Point List'!J79</f>
        <v>NOT ACCESSIBLE</v>
      </c>
      <c r="K82" t="str">
        <f t="shared" si="1"/>
        <v>RTD 2,,0,PLC1,NOT ACCESSIBLE,,</v>
      </c>
    </row>
    <row r="83" spans="1:11" x14ac:dyDescent="0.3">
      <c r="A83" t="str">
        <f>'Point List'!C80</f>
        <v>RTD 3</v>
      </c>
      <c r="C83">
        <f>'Point List'!L80</f>
        <v>0</v>
      </c>
      <c r="D83" t="s">
        <v>313</v>
      </c>
      <c r="E83" t="str">
        <f>'Point List'!J80</f>
        <v>NOT ACCESSIBLE</v>
      </c>
      <c r="K83" t="str">
        <f t="shared" si="1"/>
        <v>RTD 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313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313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 Analog</v>
      </c>
      <c r="C86">
        <f>'Point List'!L83</f>
        <v>0</v>
      </c>
      <c r="D86" t="s">
        <v>313</v>
      </c>
      <c r="E86" t="str">
        <f>'Point List'!J83</f>
        <v>NOT ACCESSIBLE</v>
      </c>
      <c r="K86" t="str">
        <f t="shared" si="1"/>
        <v>Flow Analog,,0,PLC1,NOT ACCESSIBLE,,</v>
      </c>
    </row>
    <row r="87" spans="1:11" x14ac:dyDescent="0.3">
      <c r="A87" t="str">
        <f>'Point List'!C84</f>
        <v>Conductivity Alarm</v>
      </c>
      <c r="C87">
        <f>'Point List'!L84</f>
        <v>0</v>
      </c>
      <c r="D87" t="s">
        <v>313</v>
      </c>
      <c r="E87" t="str">
        <f>'Point List'!J84</f>
        <v>NOT ACCESSIBLE</v>
      </c>
      <c r="K87" t="str">
        <f t="shared" si="1"/>
        <v>Conductivity Alarm,,0,PLC1,NOT ACCESSIBLE,,</v>
      </c>
    </row>
    <row r="88" spans="1:11" x14ac:dyDescent="0.3">
      <c r="A88" t="str">
        <f>'Point List'!C85</f>
        <v>Conductivity Fault</v>
      </c>
      <c r="C88">
        <f>'Point List'!L85</f>
        <v>0</v>
      </c>
      <c r="D88" t="s">
        <v>313</v>
      </c>
      <c r="E88" t="str">
        <f>'Point List'!J85</f>
        <v>NOT ACCESSIBLE</v>
      </c>
      <c r="K88" t="str">
        <f t="shared" si="1"/>
        <v>Conductivity Fault,,0,PLC1,NOT ACCESSIBLE,,</v>
      </c>
    </row>
    <row r="89" spans="1:11" x14ac:dyDescent="0.3">
      <c r="A89" t="str">
        <f>'Point List'!C86</f>
        <v>Level Low Switch</v>
      </c>
      <c r="C89">
        <f>'Point List'!L86</f>
        <v>0</v>
      </c>
      <c r="D89" t="s">
        <v>313</v>
      </c>
      <c r="E89" t="str">
        <f>'Point List'!J86</f>
        <v>NOT ACCESSIBLE</v>
      </c>
      <c r="K89" t="str">
        <f t="shared" si="1"/>
        <v>Level Low Switch,,0,PLC1,NOT ACCESSIBLE,,</v>
      </c>
    </row>
    <row r="90" spans="1:11" x14ac:dyDescent="0.3">
      <c r="A90" t="str">
        <f>'Point List'!C87</f>
        <v>Level Low Low Switch</v>
      </c>
      <c r="C90">
        <f>'Point List'!L87</f>
        <v>0</v>
      </c>
      <c r="D90" t="s">
        <v>313</v>
      </c>
      <c r="E90" t="str">
        <f>'Point List'!J87</f>
        <v>NOT ACCESSIBLE</v>
      </c>
      <c r="K90" t="str">
        <f t="shared" si="1"/>
        <v>Level Low Low Switch,,0,PLC1,NOT ACCESSIBLE,,</v>
      </c>
    </row>
    <row r="91" spans="1:11" x14ac:dyDescent="0.3">
      <c r="A91" t="str">
        <f>'Point List'!C88</f>
        <v>Fan 1 Enable</v>
      </c>
      <c r="C91">
        <f>'Point List'!L88</f>
        <v>0</v>
      </c>
      <c r="D91" t="s">
        <v>313</v>
      </c>
      <c r="E91" t="str">
        <f>'Point List'!J88</f>
        <v>NOT ACCESSIBLE</v>
      </c>
      <c r="K91" t="str">
        <f t="shared" si="1"/>
        <v>Fan 1 Enable,,0,PLC1,NOT ACCESSIBLE,,</v>
      </c>
    </row>
    <row r="92" spans="1:11" x14ac:dyDescent="0.3">
      <c r="A92" t="str">
        <f>'Point List'!C89</f>
        <v>Fan 2 Enable</v>
      </c>
      <c r="C92">
        <f>'Point List'!L89</f>
        <v>0</v>
      </c>
      <c r="D92" t="s">
        <v>313</v>
      </c>
      <c r="E92" t="str">
        <f>'Point List'!J89</f>
        <v>NOT ACCESSIBLE</v>
      </c>
      <c r="K92" t="str">
        <f t="shared" si="1"/>
        <v>Fan 2 Enable,,0,PLC1,NOT ACCESSIBLE,,</v>
      </c>
    </row>
    <row r="93" spans="1:11" x14ac:dyDescent="0.3">
      <c r="A93" t="str">
        <f>'Point List'!C90</f>
        <v>Pump 1 Enable</v>
      </c>
      <c r="C93">
        <f>'Point List'!L90</f>
        <v>0</v>
      </c>
      <c r="D93" t="s">
        <v>313</v>
      </c>
      <c r="E93" t="str">
        <f>'Point List'!J90</f>
        <v>NOT ACCESSIBLE</v>
      </c>
      <c r="K93" t="str">
        <f t="shared" si="1"/>
        <v>Pump 1 Enable,,0,PLC1,NOT ACCESSIBLE,,</v>
      </c>
    </row>
    <row r="94" spans="1:11" x14ac:dyDescent="0.3">
      <c r="A94" t="str">
        <f>'Point List'!C91</f>
        <v>Pump 2 Enable</v>
      </c>
      <c r="C94">
        <f>'Point List'!L91</f>
        <v>0</v>
      </c>
      <c r="D94" t="s">
        <v>313</v>
      </c>
      <c r="E94" t="str">
        <f>'Point List'!J91</f>
        <v>NOT ACCESSIBLE</v>
      </c>
      <c r="K94" t="str">
        <f t="shared" si="1"/>
        <v>Pump 2 Enable,,0,PLC1,NOT ACCESSIBLE,,</v>
      </c>
    </row>
    <row r="95" spans="1:11" x14ac:dyDescent="0.3">
      <c r="A95" t="str">
        <f>'Point List'!C92</f>
        <v>Valve Actuation Signal</v>
      </c>
      <c r="C95">
        <f>'Point List'!L92</f>
        <v>0</v>
      </c>
      <c r="D95" t="s">
        <v>313</v>
      </c>
      <c r="E95" t="str">
        <f>'Point List'!J92</f>
        <v>NOT ACCESSIBLE</v>
      </c>
      <c r="K95" t="str">
        <f t="shared" si="1"/>
        <v>Valve Actuation Signal,,0,PLC1,NOT ACCESSIBLE,,</v>
      </c>
    </row>
    <row r="96" spans="1:11" x14ac:dyDescent="0.3">
      <c r="A96" t="str">
        <f>'Point List'!C93</f>
        <v>Pressure Switch Signal</v>
      </c>
      <c r="C96">
        <f>'Point List'!L93</f>
        <v>0</v>
      </c>
      <c r="D96" t="s">
        <v>313</v>
      </c>
      <c r="E96" t="str">
        <f>'Point List'!J93</f>
        <v>NOT ACCESSIBLE</v>
      </c>
      <c r="K96" t="str">
        <f t="shared" si="1"/>
        <v>Pressure Switch Signal,,0,PLC1,NOT ACCESSIBLE,,</v>
      </c>
    </row>
    <row r="97" spans="1:11" x14ac:dyDescent="0.3">
      <c r="A97" t="str">
        <f>'Point List'!C94</f>
        <v>Active Pump  Current</v>
      </c>
      <c r="C97">
        <f>'Point List'!L94</f>
        <v>0</v>
      </c>
      <c r="D97" t="s">
        <v>313</v>
      </c>
      <c r="E97" t="str">
        <f>'Point List'!J94</f>
        <v>NOT ACCESSIBLE</v>
      </c>
      <c r="K97" t="str">
        <f t="shared" si="1"/>
        <v>Active Pump  Current,,0,PLC1,NOT ACCESSIBLE,,</v>
      </c>
    </row>
    <row r="98" spans="1:11" x14ac:dyDescent="0.3">
      <c r="A98" t="str">
        <f>'Point List'!C95</f>
        <v>Active Pump  Voltage</v>
      </c>
      <c r="C98">
        <f>'Point List'!L95</f>
        <v>0</v>
      </c>
      <c r="D98" t="s">
        <v>313</v>
      </c>
      <c r="E98" t="str">
        <f>'Point List'!J95</f>
        <v>NOT ACCESSIBLE</v>
      </c>
      <c r="K98" t="str">
        <f t="shared" si="1"/>
        <v>Active Pump  Voltage,,0,PLC1,NOT ACCESSIBLE,,</v>
      </c>
    </row>
    <row r="99" spans="1:11" x14ac:dyDescent="0.3">
      <c r="A99" t="str">
        <f>'Point List'!C96</f>
        <v>Valve Position Signal</v>
      </c>
      <c r="C99">
        <f>'Point List'!L96</f>
        <v>0</v>
      </c>
      <c r="D99" t="s">
        <v>313</v>
      </c>
      <c r="E99" t="str">
        <f>'Point List'!J96</f>
        <v>NOT ACCESSIBLE</v>
      </c>
      <c r="K99" t="str">
        <f t="shared" si="1"/>
        <v>Valve Position 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313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 Pump Active</v>
      </c>
      <c r="C101" t="str">
        <f>'Point List'!L98</f>
        <v>BitAddress</v>
      </c>
      <c r="D101" t="s">
        <v>313</v>
      </c>
      <c r="E101" t="str">
        <f>'Point List'!J98</f>
        <v>012346</v>
      </c>
      <c r="K101" t="str">
        <f t="shared" si="1"/>
        <v>Primary Pump Active,,BitAddress,PLC1,012346,,</v>
      </c>
    </row>
    <row r="102" spans="1:11" x14ac:dyDescent="0.3">
      <c r="A102" t="str">
        <f>'Point List'!C99</f>
        <v>Secondary Pump  Active</v>
      </c>
      <c r="C102" t="str">
        <f>'Point List'!L99</f>
        <v>BitAddress</v>
      </c>
      <c r="D102" t="s">
        <v>313</v>
      </c>
      <c r="E102" t="str">
        <f>'Point List'!J99</f>
        <v>012347</v>
      </c>
      <c r="K102" t="str">
        <f t="shared" si="1"/>
        <v>Secondary Pump  Active,,BitAddress,PLC1,012347,,</v>
      </c>
    </row>
    <row r="103" spans="1:11" x14ac:dyDescent="0.3">
      <c r="A103" t="str">
        <f>'Point List'!C100</f>
        <v>Simplex Mode Active</v>
      </c>
      <c r="C103" t="str">
        <f>'Point List'!L100</f>
        <v>BitAddress</v>
      </c>
      <c r="D103" t="s">
        <v>313</v>
      </c>
      <c r="E103" t="str">
        <f>'Point List'!J100</f>
        <v>012348</v>
      </c>
      <c r="K103" t="str">
        <f t="shared" si="1"/>
        <v>Simplex Mode Active,,BitAddress,PLC1,012348,,</v>
      </c>
    </row>
    <row r="104" spans="1:11" x14ac:dyDescent="0.3">
      <c r="A104" t="str">
        <f>'Point List'!C101</f>
        <v>Fan 1 Active</v>
      </c>
      <c r="C104" t="str">
        <f>'Point List'!L101</f>
        <v>BitAddress</v>
      </c>
      <c r="D104" t="s">
        <v>313</v>
      </c>
      <c r="E104" t="str">
        <f>'Point List'!J101</f>
        <v>012349</v>
      </c>
      <c r="K104" t="str">
        <f t="shared" si="1"/>
        <v>Fan 1 Active,,BitAddress,PLC1,012349,,</v>
      </c>
    </row>
    <row r="105" spans="1:11" x14ac:dyDescent="0.3">
      <c r="A105" t="str">
        <f>'Point List'!C102</f>
        <v>Fan 2 Active</v>
      </c>
      <c r="C105" t="str">
        <f>'Point List'!L102</f>
        <v>BitAddress</v>
      </c>
      <c r="D105" t="s">
        <v>313</v>
      </c>
      <c r="E105" t="str">
        <f>'Point List'!J102</f>
        <v>012350</v>
      </c>
      <c r="K105" t="str">
        <f t="shared" si="1"/>
        <v>Fan 2 Active,,BitAddress,PLC1,012350,,</v>
      </c>
    </row>
    <row r="106" spans="1:11" x14ac:dyDescent="0.3">
      <c r="A106" t="str">
        <f>'Point List'!C103</f>
        <v>Enable Pump Cycling</v>
      </c>
      <c r="C106" t="str">
        <f>'Point List'!L103</f>
        <v>BitAddress</v>
      </c>
      <c r="D106" t="s">
        <v>313</v>
      </c>
      <c r="E106" t="str">
        <f>'Point List'!J103</f>
        <v>012351</v>
      </c>
      <c r="K106" t="str">
        <f t="shared" si="1"/>
        <v>Enable Pump Cycling,,BitAddress,PLC1,012351,,</v>
      </c>
    </row>
    <row r="107" spans="1:11" x14ac:dyDescent="0.3">
      <c r="A107" t="str">
        <f>'Point List'!C104</f>
        <v>System Diagnostics</v>
      </c>
      <c r="C107" t="str">
        <f>'Point List'!L104</f>
        <v>BitAddress</v>
      </c>
      <c r="D107" t="s">
        <v>313</v>
      </c>
      <c r="E107" t="str">
        <f>'Point List'!J104</f>
        <v>012352</v>
      </c>
      <c r="K107" t="str">
        <f t="shared" si="1"/>
        <v>System Diagnostics,,BitAddress,PLC1,012352,,</v>
      </c>
    </row>
    <row r="108" spans="1:11" x14ac:dyDescent="0.3">
      <c r="A108">
        <f>'Point List'!C105</f>
        <v>0</v>
      </c>
      <c r="C108">
        <f>'Point List'!L105</f>
        <v>0</v>
      </c>
      <c r="D108" t="s">
        <v>313</v>
      </c>
      <c r="E108">
        <f>'Point List'!J105</f>
        <v>0</v>
      </c>
    </row>
    <row r="109" spans="1:11" x14ac:dyDescent="0.3">
      <c r="A109">
        <f>'Point List'!C106</f>
        <v>0</v>
      </c>
      <c r="C109">
        <f>'Point List'!L106</f>
        <v>0</v>
      </c>
      <c r="D109" t="s">
        <v>313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313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313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313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313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313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313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313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313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313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313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313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313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313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313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313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313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313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313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313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313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313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313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313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313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313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313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313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313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313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313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313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313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313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313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313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313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313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313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313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313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313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313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313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313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313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313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313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313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313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313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313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313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313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313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313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313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313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313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313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313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313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313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313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313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313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313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313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313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313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313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313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313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313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313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313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313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313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313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313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313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313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313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313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313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313</v>
      </c>
      <c r="E194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2026-10-10T18:47:28Z</dcterms:modified>
</cp:coreProperties>
</file>