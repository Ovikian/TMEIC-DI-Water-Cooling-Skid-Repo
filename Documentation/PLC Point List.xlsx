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1799" documentId="11_796C421E84FB48855BB0FC3EBB1F0B72633B0612" xr6:coauthVersionLast="47" xr6:coauthVersionMax="47" xr10:uidLastSave="{B360D68E-8D64-4908-80A8-EFD4A768C930}"/>
  <bookViews>
    <workbookView xWindow="-108" yWindow="-108" windowWidth="23256" windowHeight="12456" activeTab="3" xr2:uid="{00000000-000D-0000-FFFF-FFFF00000000}"/>
  </bookViews>
  <sheets>
    <sheet name="Point List" sheetId="1" r:id="rId1"/>
    <sheet name="Symbol Table" sheetId="3" r:id="rId2"/>
    <sheet name="Mapping Sheet" sheetId="2" r:id="rId3"/>
    <sheet name="SymbolTableCS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J105" i="1" l="1"/>
  <c r="K5" i="4"/>
  <c r="K3" i="4"/>
  <c r="K2" i="4"/>
  <c r="K1" i="4"/>
  <c r="N105" i="1" l="1"/>
  <c r="H105" i="1"/>
  <c r="E108" i="3"/>
  <c r="I105" i="1"/>
  <c r="E162" i="4"/>
  <c r="C162" i="4"/>
  <c r="A162" i="4"/>
  <c r="E161" i="4"/>
  <c r="C161" i="4"/>
  <c r="A161" i="4"/>
  <c r="E160" i="4"/>
  <c r="C160" i="4"/>
  <c r="A160" i="4"/>
  <c r="E159" i="4"/>
  <c r="C159" i="4"/>
  <c r="A159" i="4"/>
  <c r="E158" i="4"/>
  <c r="C158" i="4"/>
  <c r="A158" i="4"/>
  <c r="E157" i="4"/>
  <c r="C157" i="4"/>
  <c r="A157" i="4"/>
  <c r="E156" i="4"/>
  <c r="C156" i="4"/>
  <c r="A156" i="4"/>
  <c r="E155" i="4"/>
  <c r="C155" i="4"/>
  <c r="A155" i="4"/>
  <c r="E154" i="4"/>
  <c r="C154" i="4"/>
  <c r="A154" i="4"/>
  <c r="E153" i="4"/>
  <c r="C153" i="4"/>
  <c r="A153" i="4"/>
  <c r="E152" i="4"/>
  <c r="C152" i="4"/>
  <c r="A152" i="4"/>
  <c r="E151" i="4"/>
  <c r="C151" i="4"/>
  <c r="A151" i="4"/>
  <c r="E150" i="4"/>
  <c r="C150" i="4"/>
  <c r="A150" i="4"/>
  <c r="E149" i="4"/>
  <c r="C149" i="4"/>
  <c r="A149" i="4"/>
  <c r="E148" i="4"/>
  <c r="C148" i="4"/>
  <c r="A148" i="4"/>
  <c r="E147" i="4"/>
  <c r="C147" i="4"/>
  <c r="A147" i="4"/>
  <c r="E146" i="4"/>
  <c r="C146" i="4"/>
  <c r="A146" i="4"/>
  <c r="E145" i="4"/>
  <c r="C145" i="4"/>
  <c r="A145" i="4"/>
  <c r="E144" i="4"/>
  <c r="C144" i="4"/>
  <c r="A144" i="4"/>
  <c r="E143" i="4"/>
  <c r="C143" i="4"/>
  <c r="A143" i="4"/>
  <c r="E142" i="4"/>
  <c r="C142" i="4"/>
  <c r="A142" i="4"/>
  <c r="E141" i="4"/>
  <c r="C141" i="4"/>
  <c r="A141" i="4"/>
  <c r="E140" i="4"/>
  <c r="C140" i="4"/>
  <c r="A140" i="4"/>
  <c r="E139" i="4"/>
  <c r="C139" i="4"/>
  <c r="A139" i="4"/>
  <c r="E138" i="4"/>
  <c r="C138" i="4"/>
  <c r="A138" i="4"/>
  <c r="E137" i="4"/>
  <c r="C137" i="4"/>
  <c r="A137" i="4"/>
  <c r="E136" i="4"/>
  <c r="C136" i="4"/>
  <c r="A136" i="4"/>
  <c r="E135" i="4"/>
  <c r="C135" i="4"/>
  <c r="A135" i="4"/>
  <c r="E134" i="4"/>
  <c r="C134" i="4"/>
  <c r="A134" i="4"/>
  <c r="E133" i="4"/>
  <c r="C133" i="4"/>
  <c r="A133" i="4"/>
  <c r="E132" i="4"/>
  <c r="C132" i="4"/>
  <c r="A132" i="4"/>
  <c r="E131" i="4"/>
  <c r="C131" i="4"/>
  <c r="A131" i="4"/>
  <c r="E130" i="4"/>
  <c r="C130" i="4"/>
  <c r="A130" i="4"/>
  <c r="E129" i="4"/>
  <c r="C129" i="4"/>
  <c r="A129" i="4"/>
  <c r="E128" i="4"/>
  <c r="C128" i="4"/>
  <c r="A128" i="4"/>
  <c r="E127" i="4"/>
  <c r="C127" i="4"/>
  <c r="A127" i="4"/>
  <c r="E126" i="4"/>
  <c r="C126" i="4"/>
  <c r="A126" i="4"/>
  <c r="E125" i="4"/>
  <c r="C125" i="4"/>
  <c r="A125" i="4"/>
  <c r="E124" i="4"/>
  <c r="C124" i="4"/>
  <c r="A124" i="4"/>
  <c r="E123" i="4"/>
  <c r="C123" i="4"/>
  <c r="A123" i="4"/>
  <c r="E122" i="4"/>
  <c r="C122" i="4"/>
  <c r="A122" i="4"/>
  <c r="E121" i="4"/>
  <c r="C121" i="4"/>
  <c r="A121" i="4"/>
  <c r="E120" i="4"/>
  <c r="C120" i="4"/>
  <c r="A120" i="4"/>
  <c r="E119" i="4"/>
  <c r="C119" i="4"/>
  <c r="A119" i="4"/>
  <c r="E118" i="4"/>
  <c r="C118" i="4"/>
  <c r="A118" i="4"/>
  <c r="E117" i="4"/>
  <c r="C117" i="4"/>
  <c r="A117" i="4"/>
  <c r="E116" i="4"/>
  <c r="C116" i="4"/>
  <c r="A116" i="4"/>
  <c r="E115" i="4"/>
  <c r="C115" i="4"/>
  <c r="A115" i="4"/>
  <c r="E114" i="4"/>
  <c r="C114" i="4"/>
  <c r="A114" i="4"/>
  <c r="E113" i="4"/>
  <c r="C113" i="4"/>
  <c r="A113" i="4"/>
  <c r="E112" i="4"/>
  <c r="C112" i="4"/>
  <c r="A112" i="4"/>
  <c r="E111" i="4"/>
  <c r="C111" i="4"/>
  <c r="A111" i="4"/>
  <c r="E110" i="4"/>
  <c r="C110" i="4"/>
  <c r="A110" i="4"/>
  <c r="E109" i="4"/>
  <c r="C109" i="4"/>
  <c r="A109" i="4"/>
  <c r="E108" i="4"/>
  <c r="C108" i="4"/>
  <c r="A108" i="4"/>
  <c r="E107" i="4"/>
  <c r="C107" i="4"/>
  <c r="A107" i="4"/>
  <c r="E106" i="4"/>
  <c r="C106" i="4"/>
  <c r="A106" i="4"/>
  <c r="E105" i="4"/>
  <c r="C105" i="4"/>
  <c r="A105" i="4"/>
  <c r="E104" i="4"/>
  <c r="C104" i="4"/>
  <c r="A104" i="4"/>
  <c r="E103" i="4"/>
  <c r="C103" i="4"/>
  <c r="A103" i="4"/>
  <c r="E102" i="4"/>
  <c r="C102" i="4"/>
  <c r="A102" i="4"/>
  <c r="E101" i="4"/>
  <c r="C101" i="4"/>
  <c r="A101" i="4"/>
  <c r="E100" i="4"/>
  <c r="C100" i="4"/>
  <c r="A100" i="4"/>
  <c r="E99" i="4"/>
  <c r="C99" i="4"/>
  <c r="A99" i="4"/>
  <c r="E98" i="4"/>
  <c r="C98" i="4"/>
  <c r="A98" i="4"/>
  <c r="E97" i="4"/>
  <c r="C97" i="4"/>
  <c r="A97" i="4"/>
  <c r="E96" i="4"/>
  <c r="C96" i="4"/>
  <c r="A96" i="4"/>
  <c r="E95" i="4"/>
  <c r="C95" i="4"/>
  <c r="A95" i="4"/>
  <c r="E94" i="4"/>
  <c r="C94" i="4"/>
  <c r="A94" i="4"/>
  <c r="E93" i="4"/>
  <c r="C93" i="4"/>
  <c r="A93" i="4"/>
  <c r="E92" i="4"/>
  <c r="C92" i="4"/>
  <c r="A92" i="4"/>
  <c r="E91" i="4"/>
  <c r="C91" i="4"/>
  <c r="A91" i="4"/>
  <c r="E90" i="4"/>
  <c r="C90" i="4"/>
  <c r="A90" i="4"/>
  <c r="E89" i="4"/>
  <c r="C89" i="4"/>
  <c r="A89" i="4"/>
  <c r="E88" i="4"/>
  <c r="C88" i="4"/>
  <c r="A88" i="4"/>
  <c r="E87" i="4"/>
  <c r="C87" i="4"/>
  <c r="A87" i="4"/>
  <c r="E86" i="4"/>
  <c r="C86" i="4"/>
  <c r="A86" i="4"/>
  <c r="E85" i="4"/>
  <c r="C85" i="4"/>
  <c r="A85" i="4"/>
  <c r="E84" i="4"/>
  <c r="C84" i="4"/>
  <c r="A84" i="4"/>
  <c r="E83" i="4"/>
  <c r="C83" i="4"/>
  <c r="A83" i="4"/>
  <c r="E82" i="4"/>
  <c r="C82" i="4"/>
  <c r="A82" i="4"/>
  <c r="E81" i="4"/>
  <c r="C81" i="4"/>
  <c r="A81" i="4"/>
  <c r="E80" i="4"/>
  <c r="C80" i="4"/>
  <c r="A80" i="4"/>
  <c r="E79" i="4"/>
  <c r="C79" i="4"/>
  <c r="A79" i="4"/>
  <c r="E78" i="4"/>
  <c r="C78" i="4"/>
  <c r="A78" i="4"/>
  <c r="E77" i="4"/>
  <c r="C77" i="4"/>
  <c r="A77" i="4"/>
  <c r="C76" i="4"/>
  <c r="A76" i="4"/>
  <c r="C75" i="4"/>
  <c r="A75" i="4"/>
  <c r="C74" i="4"/>
  <c r="A74" i="4"/>
  <c r="C73" i="4"/>
  <c r="A73" i="4"/>
  <c r="C72" i="4"/>
  <c r="A72" i="4"/>
  <c r="C71" i="4"/>
  <c r="A71" i="4"/>
  <c r="C70" i="4"/>
  <c r="A70" i="4"/>
  <c r="C69" i="4"/>
  <c r="A69" i="4"/>
  <c r="C68" i="4"/>
  <c r="A68" i="4"/>
  <c r="C67" i="4"/>
  <c r="A67" i="4"/>
  <c r="C66" i="4"/>
  <c r="A66" i="4"/>
  <c r="C65" i="4"/>
  <c r="A65" i="4"/>
  <c r="C64" i="4"/>
  <c r="A64" i="4"/>
  <c r="C63" i="4"/>
  <c r="A63" i="4"/>
  <c r="C62" i="4"/>
  <c r="A62" i="4"/>
  <c r="C61" i="4"/>
  <c r="A61" i="4"/>
  <c r="C60" i="4"/>
  <c r="A60" i="4"/>
  <c r="C59" i="4"/>
  <c r="A59" i="4"/>
  <c r="C58" i="4"/>
  <c r="A58" i="4"/>
  <c r="C57" i="4"/>
  <c r="A57" i="4"/>
  <c r="C56" i="4"/>
  <c r="A56" i="4"/>
  <c r="C55" i="4"/>
  <c r="A55" i="4"/>
  <c r="C54" i="4"/>
  <c r="A54" i="4"/>
  <c r="C53" i="4"/>
  <c r="A53" i="4"/>
  <c r="C52" i="4"/>
  <c r="A52" i="4"/>
  <c r="C51" i="4"/>
  <c r="A51" i="4"/>
  <c r="C50" i="4"/>
  <c r="A50" i="4"/>
  <c r="C49" i="4"/>
  <c r="A49" i="4"/>
  <c r="C48" i="4"/>
  <c r="A48" i="4"/>
  <c r="C47" i="4"/>
  <c r="A47" i="4"/>
  <c r="C46" i="4"/>
  <c r="A46" i="4"/>
  <c r="C45" i="4"/>
  <c r="A45" i="4"/>
  <c r="C44" i="4"/>
  <c r="A44" i="4"/>
  <c r="C43" i="4"/>
  <c r="A43" i="4"/>
  <c r="C42" i="4"/>
  <c r="A42" i="4"/>
  <c r="C41" i="4"/>
  <c r="A41" i="4"/>
  <c r="C40" i="4"/>
  <c r="A40" i="4"/>
  <c r="C39" i="4"/>
  <c r="A39" i="4"/>
  <c r="C38" i="4"/>
  <c r="A38" i="4"/>
  <c r="C37" i="4"/>
  <c r="A37" i="4"/>
  <c r="C36" i="4"/>
  <c r="A36" i="4"/>
  <c r="C35" i="4"/>
  <c r="A35" i="4"/>
  <c r="C34" i="4"/>
  <c r="A34" i="4"/>
  <c r="C33" i="4"/>
  <c r="A33" i="4"/>
  <c r="C32" i="4"/>
  <c r="A32" i="4"/>
  <c r="C31" i="4"/>
  <c r="A31" i="4"/>
  <c r="C30" i="4"/>
  <c r="A30" i="4"/>
  <c r="C29" i="4"/>
  <c r="A29" i="4"/>
  <c r="C28" i="4"/>
  <c r="A28" i="4"/>
  <c r="C27" i="4"/>
  <c r="A27" i="4"/>
  <c r="C26" i="4"/>
  <c r="A26" i="4"/>
  <c r="C25" i="4"/>
  <c r="A25" i="4"/>
  <c r="C24" i="4"/>
  <c r="A24" i="4"/>
  <c r="C23" i="4"/>
  <c r="A23" i="4"/>
  <c r="C22" i="4"/>
  <c r="A22" i="4"/>
  <c r="C21" i="4"/>
  <c r="A21" i="4"/>
  <c r="C20" i="4"/>
  <c r="A20" i="4"/>
  <c r="C19" i="4"/>
  <c r="A19" i="4"/>
  <c r="C18" i="4"/>
  <c r="A18" i="4"/>
  <c r="C17" i="4"/>
  <c r="A17" i="4"/>
  <c r="C16" i="4"/>
  <c r="A16" i="4"/>
  <c r="C15" i="4"/>
  <c r="A15" i="4"/>
  <c r="C14" i="4"/>
  <c r="A14" i="4"/>
  <c r="C13" i="4"/>
  <c r="A13" i="4"/>
  <c r="C12" i="4"/>
  <c r="A12" i="4"/>
  <c r="C11" i="4"/>
  <c r="A11" i="4"/>
  <c r="C10" i="4"/>
  <c r="A10" i="4"/>
  <c r="C9" i="4"/>
  <c r="A9" i="4"/>
  <c r="C8" i="4"/>
  <c r="A8" i="4"/>
  <c r="C7" i="4"/>
  <c r="A7" i="4"/>
  <c r="C6" i="4"/>
  <c r="A6" i="4"/>
  <c r="K1" i="3"/>
  <c r="K2" i="3"/>
  <c r="K3" i="3"/>
  <c r="K5" i="3"/>
  <c r="E194" i="3"/>
  <c r="C194" i="3"/>
  <c r="A194" i="3"/>
  <c r="E193" i="3"/>
  <c r="C193" i="3"/>
  <c r="A193" i="3"/>
  <c r="E192" i="3"/>
  <c r="C192" i="3"/>
  <c r="A192" i="3"/>
  <c r="E191" i="3"/>
  <c r="C191" i="3"/>
  <c r="A191" i="3"/>
  <c r="E190" i="3"/>
  <c r="C190" i="3"/>
  <c r="A190" i="3"/>
  <c r="E189" i="3"/>
  <c r="C189" i="3"/>
  <c r="A189" i="3"/>
  <c r="E188" i="3"/>
  <c r="C188" i="3"/>
  <c r="A188" i="3"/>
  <c r="E187" i="3"/>
  <c r="C187" i="3"/>
  <c r="A187" i="3"/>
  <c r="E186" i="3"/>
  <c r="C186" i="3"/>
  <c r="A186" i="3"/>
  <c r="E185" i="3"/>
  <c r="C185" i="3"/>
  <c r="A185" i="3"/>
  <c r="E184" i="3"/>
  <c r="C184" i="3"/>
  <c r="A184" i="3"/>
  <c r="E183" i="3"/>
  <c r="C183" i="3"/>
  <c r="A183" i="3"/>
  <c r="E182" i="3"/>
  <c r="C182" i="3"/>
  <c r="A182" i="3"/>
  <c r="E181" i="3"/>
  <c r="C181" i="3"/>
  <c r="A181" i="3"/>
  <c r="E180" i="3"/>
  <c r="C180" i="3"/>
  <c r="A180" i="3"/>
  <c r="E179" i="3"/>
  <c r="C179" i="3"/>
  <c r="A179" i="3"/>
  <c r="E178" i="3"/>
  <c r="C178" i="3"/>
  <c r="A178" i="3"/>
  <c r="E177" i="3"/>
  <c r="C177" i="3"/>
  <c r="A177" i="3"/>
  <c r="E176" i="3"/>
  <c r="C176" i="3"/>
  <c r="A176" i="3"/>
  <c r="E175" i="3"/>
  <c r="C175" i="3"/>
  <c r="A175" i="3"/>
  <c r="E174" i="3"/>
  <c r="C174" i="3"/>
  <c r="A174" i="3"/>
  <c r="E173" i="3"/>
  <c r="C173" i="3"/>
  <c r="A173" i="3"/>
  <c r="E172" i="3"/>
  <c r="C172" i="3"/>
  <c r="A172" i="3"/>
  <c r="E171" i="3"/>
  <c r="C171" i="3"/>
  <c r="A171" i="3"/>
  <c r="E170" i="3"/>
  <c r="C170" i="3"/>
  <c r="A170" i="3"/>
  <c r="E169" i="3"/>
  <c r="C169" i="3"/>
  <c r="A169" i="3"/>
  <c r="E168" i="3"/>
  <c r="C168" i="3"/>
  <c r="A168" i="3"/>
  <c r="E167" i="3"/>
  <c r="C167" i="3"/>
  <c r="A167" i="3"/>
  <c r="E166" i="3"/>
  <c r="C166" i="3"/>
  <c r="A166" i="3"/>
  <c r="E165" i="3"/>
  <c r="C165" i="3"/>
  <c r="A165" i="3"/>
  <c r="E164" i="3"/>
  <c r="C164" i="3"/>
  <c r="A164" i="3"/>
  <c r="E163" i="3"/>
  <c r="C163" i="3"/>
  <c r="A163" i="3"/>
  <c r="E162" i="3"/>
  <c r="C162" i="3"/>
  <c r="A162" i="3"/>
  <c r="E161" i="3"/>
  <c r="C161" i="3"/>
  <c r="A161" i="3"/>
  <c r="E160" i="3"/>
  <c r="C160" i="3"/>
  <c r="A160" i="3"/>
  <c r="E159" i="3"/>
  <c r="C159" i="3"/>
  <c r="A159" i="3"/>
  <c r="E158" i="3"/>
  <c r="C158" i="3"/>
  <c r="A158" i="3"/>
  <c r="E157" i="3"/>
  <c r="C157" i="3"/>
  <c r="A157" i="3"/>
  <c r="E156" i="3"/>
  <c r="C156" i="3"/>
  <c r="A156" i="3"/>
  <c r="E155" i="3"/>
  <c r="C155" i="3"/>
  <c r="A155" i="3"/>
  <c r="E154" i="3"/>
  <c r="C154" i="3"/>
  <c r="A154" i="3"/>
  <c r="E153" i="3"/>
  <c r="C153" i="3"/>
  <c r="A153" i="3"/>
  <c r="E152" i="3"/>
  <c r="C152" i="3"/>
  <c r="A152" i="3"/>
  <c r="E151" i="3"/>
  <c r="C151" i="3"/>
  <c r="A151" i="3"/>
  <c r="E150" i="3"/>
  <c r="C150" i="3"/>
  <c r="A150" i="3"/>
  <c r="E149" i="3"/>
  <c r="C149" i="3"/>
  <c r="A149" i="3"/>
  <c r="E148" i="3"/>
  <c r="C148" i="3"/>
  <c r="A148" i="3"/>
  <c r="E147" i="3"/>
  <c r="C147" i="3"/>
  <c r="A147" i="3"/>
  <c r="E146" i="3"/>
  <c r="C146" i="3"/>
  <c r="A146" i="3"/>
  <c r="E145" i="3"/>
  <c r="C145" i="3"/>
  <c r="A145" i="3"/>
  <c r="E144" i="3"/>
  <c r="C144" i="3"/>
  <c r="A144" i="3"/>
  <c r="E143" i="3"/>
  <c r="C143" i="3"/>
  <c r="A143" i="3"/>
  <c r="E142" i="3"/>
  <c r="C142" i="3"/>
  <c r="A142" i="3"/>
  <c r="E141" i="3"/>
  <c r="C141" i="3"/>
  <c r="A141" i="3"/>
  <c r="E140" i="3"/>
  <c r="C140" i="3"/>
  <c r="A140" i="3"/>
  <c r="E139" i="3"/>
  <c r="C139" i="3"/>
  <c r="A139" i="3"/>
  <c r="E138" i="3"/>
  <c r="C138" i="3"/>
  <c r="A138" i="3"/>
  <c r="E137" i="3"/>
  <c r="C137" i="3"/>
  <c r="A137" i="3"/>
  <c r="E136" i="3"/>
  <c r="C136" i="3"/>
  <c r="A136" i="3"/>
  <c r="E135" i="3"/>
  <c r="C135" i="3"/>
  <c r="A135" i="3"/>
  <c r="E134" i="3"/>
  <c r="C134" i="3"/>
  <c r="A134" i="3"/>
  <c r="E133" i="3"/>
  <c r="C133" i="3"/>
  <c r="A133" i="3"/>
  <c r="E132" i="3"/>
  <c r="C132" i="3"/>
  <c r="A132" i="3"/>
  <c r="E131" i="3"/>
  <c r="C131" i="3"/>
  <c r="A131" i="3"/>
  <c r="E130" i="3"/>
  <c r="C130" i="3"/>
  <c r="A130" i="3"/>
  <c r="E129" i="3"/>
  <c r="C129" i="3"/>
  <c r="A129" i="3"/>
  <c r="E128" i="3"/>
  <c r="C128" i="3"/>
  <c r="A128" i="3"/>
  <c r="E127" i="3"/>
  <c r="C127" i="3"/>
  <c r="A127" i="3"/>
  <c r="E126" i="3"/>
  <c r="C126" i="3"/>
  <c r="A126" i="3"/>
  <c r="E125" i="3"/>
  <c r="C125" i="3"/>
  <c r="A125" i="3"/>
  <c r="E124" i="3"/>
  <c r="C124" i="3"/>
  <c r="A124" i="3"/>
  <c r="E123" i="3"/>
  <c r="C123" i="3"/>
  <c r="A123" i="3"/>
  <c r="E122" i="3"/>
  <c r="C122" i="3"/>
  <c r="A122" i="3"/>
  <c r="E121" i="3"/>
  <c r="C121" i="3"/>
  <c r="A121" i="3"/>
  <c r="E120" i="3"/>
  <c r="C120" i="3"/>
  <c r="A120" i="3"/>
  <c r="E119" i="3"/>
  <c r="C119" i="3"/>
  <c r="A119" i="3"/>
  <c r="E118" i="3"/>
  <c r="C118" i="3"/>
  <c r="A118" i="3"/>
  <c r="E117" i="3"/>
  <c r="C117" i="3"/>
  <c r="A117" i="3"/>
  <c r="E116" i="3"/>
  <c r="C116" i="3"/>
  <c r="A116" i="3"/>
  <c r="E115" i="3"/>
  <c r="C115" i="3"/>
  <c r="A115" i="3"/>
  <c r="E114" i="3"/>
  <c r="C114" i="3"/>
  <c r="A114" i="3"/>
  <c r="E113" i="3"/>
  <c r="C113" i="3"/>
  <c r="A113" i="3"/>
  <c r="E112" i="3"/>
  <c r="C112" i="3"/>
  <c r="A112" i="3"/>
  <c r="E111" i="3"/>
  <c r="C111" i="3"/>
  <c r="A111" i="3"/>
  <c r="E110" i="3"/>
  <c r="C110" i="3"/>
  <c r="A110" i="3"/>
  <c r="E109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E100" i="3"/>
  <c r="C100" i="3"/>
  <c r="A100" i="3"/>
  <c r="E99" i="3"/>
  <c r="C99" i="3"/>
  <c r="A99" i="3"/>
  <c r="E98" i="3"/>
  <c r="C98" i="3"/>
  <c r="A98" i="3"/>
  <c r="E97" i="3"/>
  <c r="C97" i="3"/>
  <c r="A97" i="3"/>
  <c r="E96" i="3"/>
  <c r="C96" i="3"/>
  <c r="A96" i="3"/>
  <c r="K96" i="3" s="1"/>
  <c r="E95" i="3"/>
  <c r="C95" i="3"/>
  <c r="A95" i="3"/>
  <c r="E94" i="3"/>
  <c r="C94" i="3"/>
  <c r="K94" i="3" s="1"/>
  <c r="A94" i="3"/>
  <c r="E93" i="3"/>
  <c r="C93" i="3"/>
  <c r="A93" i="3"/>
  <c r="E92" i="3"/>
  <c r="C92" i="3"/>
  <c r="A92" i="3"/>
  <c r="K92" i="3" s="1"/>
  <c r="E91" i="3"/>
  <c r="C91" i="3"/>
  <c r="A91" i="3"/>
  <c r="E90" i="3"/>
  <c r="C90" i="3"/>
  <c r="A90" i="3"/>
  <c r="E89" i="3"/>
  <c r="C89" i="3"/>
  <c r="A89" i="3"/>
  <c r="E88" i="3"/>
  <c r="C88" i="3"/>
  <c r="A88" i="3"/>
  <c r="K88" i="3" s="1"/>
  <c r="E87" i="3"/>
  <c r="C87" i="3"/>
  <c r="A87" i="3"/>
  <c r="E86" i="3"/>
  <c r="C86" i="3"/>
  <c r="A86" i="3"/>
  <c r="K86" i="3" s="1"/>
  <c r="E85" i="3"/>
  <c r="C85" i="3"/>
  <c r="A85" i="3"/>
  <c r="E84" i="3"/>
  <c r="C84" i="3"/>
  <c r="A84" i="3"/>
  <c r="K84" i="3" s="1"/>
  <c r="E83" i="3"/>
  <c r="C83" i="3"/>
  <c r="A83" i="3"/>
  <c r="E82" i="3"/>
  <c r="C82" i="3"/>
  <c r="A82" i="3"/>
  <c r="E81" i="3"/>
  <c r="C81" i="3"/>
  <c r="A81" i="3"/>
  <c r="E80" i="3"/>
  <c r="C80" i="3"/>
  <c r="A80" i="3"/>
  <c r="K80" i="3" s="1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E18" i="2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E76" i="4" l="1"/>
  <c r="K76" i="4" s="1"/>
  <c r="K100" i="3"/>
  <c r="K82" i="3"/>
  <c r="K87" i="3"/>
  <c r="K90" i="3"/>
  <c r="K98" i="3"/>
  <c r="K85" i="3"/>
  <c r="K93" i="3"/>
  <c r="K83" i="3"/>
  <c r="K91" i="3"/>
  <c r="K99" i="3"/>
  <c r="K81" i="3"/>
  <c r="K89" i="3"/>
  <c r="K97" i="3"/>
  <c r="K95" i="3"/>
  <c r="I3" i="1" a="1"/>
  <c r="I3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33" i="1"/>
  <c r="T34" i="1"/>
  <c r="T35" i="1"/>
  <c r="T36" i="1"/>
  <c r="T37" i="1"/>
  <c r="T38" i="1"/>
  <c r="T39" i="1"/>
  <c r="T40" i="1"/>
  <c r="T41" i="1"/>
  <c r="T42" i="1"/>
  <c r="T44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T23" i="1"/>
  <c r="T49" i="1"/>
  <c r="H3" i="1" l="1"/>
  <c r="I4" i="1"/>
  <c r="J3" i="1"/>
  <c r="N3" i="1"/>
  <c r="D2" i="2"/>
  <c r="C2" i="2"/>
  <c r="B4" i="2"/>
  <c r="D3" i="2"/>
  <c r="C3" i="2"/>
  <c r="T24" i="1"/>
  <c r="E6" i="3" l="1"/>
  <c r="K6" i="3" s="1"/>
  <c r="E6" i="4"/>
  <c r="K6" i="4" s="1"/>
  <c r="J4" i="1"/>
  <c r="N4" i="1"/>
  <c r="I5" i="1"/>
  <c r="H4" i="1"/>
  <c r="D4" i="2"/>
  <c r="C4" i="2"/>
  <c r="B5" i="2"/>
  <c r="T26" i="1"/>
  <c r="T50" i="1"/>
  <c r="T25" i="1"/>
  <c r="E7" i="4" l="1"/>
  <c r="K7" i="4" s="1"/>
  <c r="E7" i="3"/>
  <c r="K7" i="3" s="1"/>
  <c r="I6" i="1"/>
  <c r="H5" i="1"/>
  <c r="N5" i="1"/>
  <c r="J5" i="1"/>
  <c r="T27" i="1"/>
  <c r="B6" i="2"/>
  <c r="D5" i="2"/>
  <c r="C5" i="2"/>
  <c r="T28" i="1"/>
  <c r="E8" i="4" l="1"/>
  <c r="K8" i="4" s="1"/>
  <c r="E8" i="3"/>
  <c r="K8" i="3" s="1"/>
  <c r="H6" i="1"/>
  <c r="J6" i="1"/>
  <c r="N6" i="1"/>
  <c r="I7" i="1"/>
  <c r="B7" i="2"/>
  <c r="D6" i="2"/>
  <c r="C6" i="2"/>
  <c r="T29" i="1"/>
  <c r="E9" i="3" l="1"/>
  <c r="K9" i="3" s="1"/>
  <c r="E9" i="4"/>
  <c r="K9" i="4" s="1"/>
  <c r="N7" i="1"/>
  <c r="J7" i="1"/>
  <c r="I8" i="1"/>
  <c r="H7" i="1"/>
  <c r="B8" i="2"/>
  <c r="D7" i="2"/>
  <c r="C7" i="2"/>
  <c r="T30" i="1"/>
  <c r="E10" i="4" l="1"/>
  <c r="K10" i="4" s="1"/>
  <c r="E10" i="3"/>
  <c r="K10" i="3" s="1"/>
  <c r="I9" i="1"/>
  <c r="H8" i="1"/>
  <c r="J8" i="1"/>
  <c r="N8" i="1"/>
  <c r="B9" i="2"/>
  <c r="D8" i="2"/>
  <c r="C8" i="2"/>
  <c r="T31" i="1"/>
  <c r="E11" i="4" l="1"/>
  <c r="K11" i="4" s="1"/>
  <c r="E11" i="3"/>
  <c r="K11" i="3" s="1"/>
  <c r="J9" i="1"/>
  <c r="N9" i="1"/>
  <c r="H9" i="1"/>
  <c r="I10" i="1"/>
  <c r="B10" i="2"/>
  <c r="D9" i="2"/>
  <c r="C9" i="2"/>
  <c r="T32" i="1"/>
  <c r="E12" i="3" l="1"/>
  <c r="K12" i="3" s="1"/>
  <c r="E12" i="4"/>
  <c r="K12" i="4" s="1"/>
  <c r="I11" i="1"/>
  <c r="N10" i="1"/>
  <c r="H10" i="1"/>
  <c r="J10" i="1"/>
  <c r="D10" i="2"/>
  <c r="C10" i="2"/>
  <c r="B11" i="2"/>
  <c r="E13" i="3" l="1"/>
  <c r="K13" i="3" s="1"/>
  <c r="E13" i="4"/>
  <c r="K13" i="4" s="1"/>
  <c r="H11" i="1"/>
  <c r="J11" i="1"/>
  <c r="N11" i="1"/>
  <c r="I12" i="1"/>
  <c r="B12" i="2"/>
  <c r="D11" i="2"/>
  <c r="C11" i="2"/>
  <c r="E14" i="3" l="1"/>
  <c r="K14" i="3" s="1"/>
  <c r="E14" i="4"/>
  <c r="K14" i="4" s="1"/>
  <c r="J12" i="1"/>
  <c r="N12" i="1"/>
  <c r="I13" i="1"/>
  <c r="H12" i="1"/>
  <c r="B13" i="2"/>
  <c r="D12" i="2"/>
  <c r="C12" i="2"/>
  <c r="E15" i="4" l="1"/>
  <c r="K15" i="4" s="1"/>
  <c r="E15" i="3"/>
  <c r="K15" i="3" s="1"/>
  <c r="I14" i="1"/>
  <c r="H13" i="1"/>
  <c r="J13" i="1"/>
  <c r="N13" i="1"/>
  <c r="B14" i="2"/>
  <c r="D13" i="2"/>
  <c r="C13" i="2"/>
  <c r="E16" i="4" l="1"/>
  <c r="K16" i="4" s="1"/>
  <c r="E16" i="3"/>
  <c r="K16" i="3" s="1"/>
  <c r="H14" i="1"/>
  <c r="J14" i="1"/>
  <c r="N14" i="1"/>
  <c r="I15" i="1"/>
  <c r="B15" i="2"/>
  <c r="D14" i="2"/>
  <c r="C14" i="2"/>
  <c r="E17" i="4" l="1"/>
  <c r="K17" i="4" s="1"/>
  <c r="E17" i="3"/>
  <c r="K17" i="3" s="1"/>
  <c r="N15" i="1"/>
  <c r="I16" i="1"/>
  <c r="H15" i="1"/>
  <c r="J15" i="1"/>
  <c r="B16" i="2"/>
  <c r="D15" i="2"/>
  <c r="C15" i="2"/>
  <c r="E18" i="3" l="1"/>
  <c r="K18" i="3" s="1"/>
  <c r="E18" i="4"/>
  <c r="K18" i="4" s="1"/>
  <c r="I17" i="1"/>
  <c r="H16" i="1"/>
  <c r="J16" i="1"/>
  <c r="N16" i="1"/>
  <c r="B17" i="2"/>
  <c r="D16" i="2"/>
  <c r="C16" i="2"/>
  <c r="E19" i="4" l="1"/>
  <c r="K19" i="4" s="1"/>
  <c r="E19" i="3"/>
  <c r="K19" i="3" s="1"/>
  <c r="J17" i="1"/>
  <c r="H17" i="1"/>
  <c r="N17" i="1"/>
  <c r="I18" i="1"/>
  <c r="B18" i="2"/>
  <c r="D17" i="2"/>
  <c r="C17" i="2"/>
  <c r="T45" i="1"/>
  <c r="E20" i="3" l="1"/>
  <c r="K20" i="3" s="1"/>
  <c r="N18" i="1"/>
  <c r="I19" i="1"/>
  <c r="H18" i="1"/>
  <c r="J18" i="1"/>
  <c r="B19" i="2"/>
  <c r="D18" i="2"/>
  <c r="C18" i="2"/>
  <c r="T46" i="1"/>
  <c r="E21" i="3" l="1"/>
  <c r="K21" i="3" s="1"/>
  <c r="H19" i="1"/>
  <c r="J19" i="1"/>
  <c r="N19" i="1"/>
  <c r="I20" i="1"/>
  <c r="B20" i="2"/>
  <c r="D19" i="2"/>
  <c r="C19" i="2"/>
  <c r="T47" i="1"/>
  <c r="E22" i="3" l="1"/>
  <c r="K22" i="3" s="1"/>
  <c r="E20" i="4"/>
  <c r="K20" i="4" s="1"/>
  <c r="J20" i="1"/>
  <c r="N20" i="1"/>
  <c r="I21" i="1"/>
  <c r="H20" i="1"/>
  <c r="B21" i="2"/>
  <c r="D20" i="2"/>
  <c r="C20" i="2"/>
  <c r="T48" i="1"/>
  <c r="E21" i="4" l="1"/>
  <c r="K21" i="4" s="1"/>
  <c r="E23" i="3"/>
  <c r="K23" i="3" s="1"/>
  <c r="I22" i="1"/>
  <c r="N21" i="1"/>
  <c r="H21" i="1"/>
  <c r="J21" i="1"/>
  <c r="B22" i="2"/>
  <c r="D21" i="2"/>
  <c r="C21" i="2"/>
  <c r="E22" i="4" l="1"/>
  <c r="K22" i="4" s="1"/>
  <c r="E24" i="3"/>
  <c r="K24" i="3" s="1"/>
  <c r="H22" i="1"/>
  <c r="J22" i="1"/>
  <c r="N22" i="1"/>
  <c r="I33" i="1"/>
  <c r="B23" i="2"/>
  <c r="D22" i="2"/>
  <c r="C22" i="2"/>
  <c r="E25" i="3" l="1"/>
  <c r="K25" i="3" s="1"/>
  <c r="E23" i="4"/>
  <c r="K23" i="4" s="1"/>
  <c r="N33" i="1"/>
  <c r="J33" i="1"/>
  <c r="I34" i="1"/>
  <c r="H33" i="1"/>
  <c r="B24" i="2"/>
  <c r="D23" i="2"/>
  <c r="C23" i="2"/>
  <c r="E36" i="3" l="1"/>
  <c r="K36" i="3" s="1"/>
  <c r="E33" i="4"/>
  <c r="K33" i="4" s="1"/>
  <c r="I35" i="1"/>
  <c r="H34" i="1"/>
  <c r="J34" i="1"/>
  <c r="N34" i="1"/>
  <c r="B25" i="2"/>
  <c r="D24" i="2"/>
  <c r="C24" i="2"/>
  <c r="E37" i="3" l="1"/>
  <c r="K37" i="3" s="1"/>
  <c r="J35" i="1"/>
  <c r="N35" i="1"/>
  <c r="H35" i="1"/>
  <c r="I36" i="1"/>
  <c r="B26" i="2"/>
  <c r="D25" i="2"/>
  <c r="C25" i="2"/>
  <c r="E38" i="3" l="1"/>
  <c r="K38" i="3" s="1"/>
  <c r="N36" i="1"/>
  <c r="I37" i="1"/>
  <c r="H36" i="1"/>
  <c r="J36" i="1"/>
  <c r="T43" i="1"/>
  <c r="B27" i="2"/>
  <c r="C26" i="2"/>
  <c r="D26" i="2"/>
  <c r="E39" i="3" l="1"/>
  <c r="K39" i="3" s="1"/>
  <c r="H37" i="1"/>
  <c r="J37" i="1"/>
  <c r="N37" i="1"/>
  <c r="I38" i="1"/>
  <c r="B28" i="2"/>
  <c r="D27" i="2"/>
  <c r="C27" i="2"/>
  <c r="E40" i="3" l="1"/>
  <c r="K40" i="3" s="1"/>
  <c r="J38" i="1"/>
  <c r="N38" i="1"/>
  <c r="I39" i="1"/>
  <c r="H38" i="1"/>
  <c r="B29" i="2"/>
  <c r="D28" i="2"/>
  <c r="C28" i="2"/>
  <c r="E41" i="3" l="1"/>
  <c r="K41" i="3" s="1"/>
  <c r="E34" i="4"/>
  <c r="K34" i="4" s="1"/>
  <c r="I40" i="1"/>
  <c r="H39" i="1"/>
  <c r="J39" i="1"/>
  <c r="N39" i="1"/>
  <c r="B30" i="2"/>
  <c r="D29" i="2"/>
  <c r="C29" i="2"/>
  <c r="E35" i="4" l="1"/>
  <c r="K35" i="4" s="1"/>
  <c r="E42" i="3"/>
  <c r="K42" i="3" s="1"/>
  <c r="H40" i="1"/>
  <c r="J40" i="1"/>
  <c r="N40" i="1"/>
  <c r="I41" i="1"/>
  <c r="B31" i="2"/>
  <c r="D30" i="2"/>
  <c r="C30" i="2"/>
  <c r="E36" i="4" l="1"/>
  <c r="K36" i="4" s="1"/>
  <c r="E43" i="3"/>
  <c r="K43" i="3" s="1"/>
  <c r="N41" i="1"/>
  <c r="J41" i="1"/>
  <c r="I42" i="1"/>
  <c r="H41" i="1"/>
  <c r="B32" i="2"/>
  <c r="D31" i="2"/>
  <c r="C31" i="2"/>
  <c r="E44" i="3" l="1"/>
  <c r="K44" i="3" s="1"/>
  <c r="E37" i="4"/>
  <c r="K37" i="4" s="1"/>
  <c r="I44" i="1"/>
  <c r="H42" i="1"/>
  <c r="J42" i="1"/>
  <c r="N42" i="1"/>
  <c r="B33" i="2"/>
  <c r="D32" i="2"/>
  <c r="C32" i="2"/>
  <c r="E38" i="4" l="1"/>
  <c r="K38" i="4" s="1"/>
  <c r="E45" i="3"/>
  <c r="K45" i="3" s="1"/>
  <c r="J44" i="1"/>
  <c r="N44" i="1"/>
  <c r="H44" i="1"/>
  <c r="I51" i="1"/>
  <c r="B34" i="2"/>
  <c r="D33" i="2"/>
  <c r="C33" i="2"/>
  <c r="E47" i="3" l="1"/>
  <c r="K47" i="3" s="1"/>
  <c r="I52" i="1"/>
  <c r="H51" i="1"/>
  <c r="J51" i="1"/>
  <c r="N51" i="1"/>
  <c r="B35" i="2"/>
  <c r="D34" i="2"/>
  <c r="C34" i="2"/>
  <c r="E54" i="3" l="1"/>
  <c r="K54" i="3" s="1"/>
  <c r="E43" i="4"/>
  <c r="K43" i="4" s="1"/>
  <c r="H52" i="1"/>
  <c r="I53" i="1"/>
  <c r="J52" i="1"/>
  <c r="N52" i="1"/>
  <c r="B36" i="2"/>
  <c r="D35" i="2"/>
  <c r="C35" i="2"/>
  <c r="E44" i="4" l="1"/>
  <c r="K44" i="4" s="1"/>
  <c r="E55" i="3"/>
  <c r="K55" i="3" s="1"/>
  <c r="J53" i="1"/>
  <c r="N53" i="1"/>
  <c r="I54" i="1"/>
  <c r="H53" i="1"/>
  <c r="B37" i="2"/>
  <c r="D36" i="2"/>
  <c r="C36" i="2"/>
  <c r="E45" i="4" l="1"/>
  <c r="K45" i="4" s="1"/>
  <c r="E56" i="3"/>
  <c r="K56" i="3" s="1"/>
  <c r="I55" i="1"/>
  <c r="N54" i="1"/>
  <c r="H54" i="1"/>
  <c r="J54" i="1"/>
  <c r="B38" i="2"/>
  <c r="D37" i="2"/>
  <c r="C37" i="2"/>
  <c r="E57" i="3" l="1"/>
  <c r="K57" i="3" s="1"/>
  <c r="E46" i="4"/>
  <c r="K46" i="4" s="1"/>
  <c r="H55" i="1"/>
  <c r="J55" i="1"/>
  <c r="N55" i="1"/>
  <c r="I56" i="1"/>
  <c r="B39" i="2"/>
  <c r="D38" i="2"/>
  <c r="C38" i="2"/>
  <c r="E47" i="4" l="1"/>
  <c r="K47" i="4" s="1"/>
  <c r="E58" i="3"/>
  <c r="K58" i="3" s="1"/>
  <c r="N56" i="1"/>
  <c r="I57" i="1"/>
  <c r="J56" i="1"/>
  <c r="H56" i="1"/>
  <c r="B40" i="2"/>
  <c r="D39" i="2"/>
  <c r="C39" i="2"/>
  <c r="E48" i="4" l="1"/>
  <c r="K48" i="4" s="1"/>
  <c r="E59" i="3"/>
  <c r="K59" i="3" s="1"/>
  <c r="I58" i="1"/>
  <c r="H57" i="1"/>
  <c r="J57" i="1"/>
  <c r="N57" i="1"/>
  <c r="B41" i="2"/>
  <c r="D40" i="2"/>
  <c r="C40" i="2"/>
  <c r="E60" i="3" l="1"/>
  <c r="K60" i="3" s="1"/>
  <c r="E49" i="4"/>
  <c r="K49" i="4" s="1"/>
  <c r="J58" i="1"/>
  <c r="H58" i="1"/>
  <c r="N58" i="1"/>
  <c r="I59" i="1"/>
  <c r="B42" i="2"/>
  <c r="D41" i="2"/>
  <c r="C41" i="2"/>
  <c r="E50" i="4" l="1"/>
  <c r="K50" i="4" s="1"/>
  <c r="E61" i="3"/>
  <c r="K61" i="3" s="1"/>
  <c r="I60" i="1"/>
  <c r="N59" i="1"/>
  <c r="H59" i="1"/>
  <c r="J59" i="1"/>
  <c r="B43" i="2"/>
  <c r="D42" i="2"/>
  <c r="C42" i="2"/>
  <c r="E62" i="3" l="1"/>
  <c r="K62" i="3" s="1"/>
  <c r="E51" i="4"/>
  <c r="K51" i="4" s="1"/>
  <c r="H60" i="1"/>
  <c r="J60" i="1"/>
  <c r="N60" i="1"/>
  <c r="I61" i="1"/>
  <c r="B44" i="2"/>
  <c r="D43" i="2"/>
  <c r="C43" i="2"/>
  <c r="E52" i="4" l="1"/>
  <c r="K52" i="4" s="1"/>
  <c r="E63" i="3"/>
  <c r="K63" i="3" s="1"/>
  <c r="J61" i="1"/>
  <c r="N61" i="1"/>
  <c r="I62" i="1"/>
  <c r="H61" i="1"/>
  <c r="B45" i="2"/>
  <c r="D44" i="2"/>
  <c r="C44" i="2"/>
  <c r="E53" i="4" l="1"/>
  <c r="K53" i="4" s="1"/>
  <c r="E64" i="3"/>
  <c r="K64" i="3" s="1"/>
  <c r="I63" i="1"/>
  <c r="H62" i="1"/>
  <c r="J62" i="1"/>
  <c r="N62" i="1"/>
  <c r="B46" i="2"/>
  <c r="D45" i="2"/>
  <c r="C45" i="2"/>
  <c r="E54" i="4" l="1"/>
  <c r="K54" i="4" s="1"/>
  <c r="E65" i="3"/>
  <c r="K65" i="3" s="1"/>
  <c r="H63" i="1"/>
  <c r="J63" i="1"/>
  <c r="I64" i="1"/>
  <c r="N63" i="1"/>
  <c r="B47" i="2"/>
  <c r="D46" i="2"/>
  <c r="C46" i="2"/>
  <c r="E55" i="4" l="1"/>
  <c r="K55" i="4" s="1"/>
  <c r="E66" i="3"/>
  <c r="K66" i="3" s="1"/>
  <c r="N64" i="1"/>
  <c r="J64" i="1"/>
  <c r="I65" i="1"/>
  <c r="H64" i="1"/>
  <c r="B48" i="2"/>
  <c r="D47" i="2"/>
  <c r="C47" i="2"/>
  <c r="E56" i="4" l="1"/>
  <c r="K56" i="4" s="1"/>
  <c r="E67" i="3"/>
  <c r="K67" i="3" s="1"/>
  <c r="I66" i="1"/>
  <c r="H65" i="1"/>
  <c r="J65" i="1"/>
  <c r="N65" i="1"/>
  <c r="B49" i="2"/>
  <c r="D48" i="2"/>
  <c r="C48" i="2"/>
  <c r="E68" i="3" l="1"/>
  <c r="K68" i="3" s="1"/>
  <c r="E57" i="4"/>
  <c r="K57" i="4" s="1"/>
  <c r="J66" i="1"/>
  <c r="H66" i="1"/>
  <c r="N66" i="1"/>
  <c r="I67" i="1"/>
  <c r="B50" i="2"/>
  <c r="D49" i="2"/>
  <c r="C49" i="2"/>
  <c r="E58" i="4" l="1"/>
  <c r="K58" i="4" s="1"/>
  <c r="E69" i="3"/>
  <c r="K69" i="3" s="1"/>
  <c r="I68" i="1"/>
  <c r="J67" i="1"/>
  <c r="N67" i="1"/>
  <c r="H67" i="1"/>
  <c r="B51" i="2"/>
  <c r="D50" i="2"/>
  <c r="C50" i="2"/>
  <c r="E70" i="3" l="1"/>
  <c r="K70" i="3" s="1"/>
  <c r="E59" i="4"/>
  <c r="K59" i="4" s="1"/>
  <c r="H68" i="1"/>
  <c r="J68" i="1"/>
  <c r="N68" i="1"/>
  <c r="I69" i="1"/>
  <c r="B52" i="2"/>
  <c r="D51" i="2"/>
  <c r="C51" i="2"/>
  <c r="E60" i="4" l="1"/>
  <c r="K60" i="4" s="1"/>
  <c r="E71" i="3"/>
  <c r="K71" i="3" s="1"/>
  <c r="J69" i="1"/>
  <c r="N69" i="1"/>
  <c r="I70" i="1"/>
  <c r="H69" i="1"/>
  <c r="B53" i="2"/>
  <c r="D52" i="2"/>
  <c r="C52" i="2"/>
  <c r="E61" i="4" l="1"/>
  <c r="K61" i="4" s="1"/>
  <c r="E72" i="3"/>
  <c r="K72" i="3" s="1"/>
  <c r="I71" i="1"/>
  <c r="N70" i="1"/>
  <c r="H70" i="1"/>
  <c r="J70" i="1"/>
  <c r="B54" i="2"/>
  <c r="D53" i="2"/>
  <c r="C53" i="2"/>
  <c r="E73" i="3" l="1"/>
  <c r="K73" i="3" s="1"/>
  <c r="E62" i="4"/>
  <c r="K62" i="4" s="1"/>
  <c r="H71" i="1"/>
  <c r="J71" i="1"/>
  <c r="N71" i="1"/>
  <c r="I72" i="1"/>
  <c r="B55" i="2"/>
  <c r="D54" i="2"/>
  <c r="C54" i="2"/>
  <c r="E63" i="4" l="1"/>
  <c r="K63" i="4" s="1"/>
  <c r="E74" i="3"/>
  <c r="K74" i="3" s="1"/>
  <c r="N72" i="1"/>
  <c r="J72" i="1"/>
  <c r="I73" i="1"/>
  <c r="H72" i="1"/>
  <c r="B56" i="2"/>
  <c r="D55" i="2"/>
  <c r="C55" i="2"/>
  <c r="E64" i="4" l="1"/>
  <c r="K64" i="4" s="1"/>
  <c r="E75" i="3"/>
  <c r="K75" i="3" s="1"/>
  <c r="I74" i="1"/>
  <c r="H73" i="1"/>
  <c r="J73" i="1"/>
  <c r="N73" i="1"/>
  <c r="B57" i="2"/>
  <c r="D56" i="2"/>
  <c r="C56" i="2"/>
  <c r="E76" i="3" l="1"/>
  <c r="K76" i="3" s="1"/>
  <c r="E65" i="4"/>
  <c r="K65" i="4" s="1"/>
  <c r="H74" i="1"/>
  <c r="J74" i="1"/>
  <c r="N74" i="1"/>
  <c r="I75" i="1"/>
  <c r="B58" i="2"/>
  <c r="D57" i="2"/>
  <c r="C57" i="2"/>
  <c r="E66" i="4" l="1"/>
  <c r="K66" i="4" s="1"/>
  <c r="E77" i="3"/>
  <c r="K77" i="3" s="1"/>
  <c r="I76" i="1"/>
  <c r="J75" i="1"/>
  <c r="H75" i="1"/>
  <c r="N75" i="1"/>
  <c r="B59" i="2"/>
  <c r="C58" i="2"/>
  <c r="D58" i="2"/>
  <c r="E78" i="3" l="1"/>
  <c r="K78" i="3" s="1"/>
  <c r="E67" i="4"/>
  <c r="K67" i="4" s="1"/>
  <c r="H76" i="1"/>
  <c r="J76" i="1"/>
  <c r="N76" i="1"/>
  <c r="I98" i="1"/>
  <c r="B60" i="2"/>
  <c r="D59" i="2"/>
  <c r="C59" i="2"/>
  <c r="E68" i="4" l="1"/>
  <c r="K68" i="4" s="1"/>
  <c r="E79" i="3"/>
  <c r="K79" i="3" s="1"/>
  <c r="J98" i="1"/>
  <c r="N98" i="1"/>
  <c r="I99" i="1"/>
  <c r="H98" i="1"/>
  <c r="B61" i="2"/>
  <c r="D60" i="2"/>
  <c r="C60" i="2"/>
  <c r="E101" i="3" l="1"/>
  <c r="K101" i="3" s="1"/>
  <c r="E69" i="4"/>
  <c r="K69" i="4" s="1"/>
  <c r="H99" i="1"/>
  <c r="I100" i="1"/>
  <c r="I101" i="1" s="1"/>
  <c r="J99" i="1"/>
  <c r="B62" i="2"/>
  <c r="D61" i="2"/>
  <c r="C61" i="2"/>
  <c r="E102" i="3" l="1"/>
  <c r="K102" i="3" s="1"/>
  <c r="E70" i="4"/>
  <c r="K70" i="4" s="1"/>
  <c r="I102" i="1"/>
  <c r="N101" i="1"/>
  <c r="H101" i="1"/>
  <c r="J101" i="1"/>
  <c r="N100" i="1"/>
  <c r="J100" i="1"/>
  <c r="H100" i="1"/>
  <c r="B63" i="2"/>
  <c r="D62" i="2"/>
  <c r="C62" i="2"/>
  <c r="E71" i="4" l="1"/>
  <c r="K71" i="4" s="1"/>
  <c r="E103" i="3"/>
  <c r="K103" i="3" s="1"/>
  <c r="E72" i="4"/>
  <c r="K72" i="4" s="1"/>
  <c r="E104" i="3"/>
  <c r="K104" i="3" s="1"/>
  <c r="I103" i="1"/>
  <c r="N102" i="1"/>
  <c r="J102" i="1"/>
  <c r="H102" i="1"/>
  <c r="B64" i="2"/>
  <c r="D63" i="2"/>
  <c r="C63" i="2"/>
  <c r="E105" i="3" l="1"/>
  <c r="K105" i="3" s="1"/>
  <c r="E73" i="4"/>
  <c r="K73" i="4" s="1"/>
  <c r="I104" i="1"/>
  <c r="I43" i="1" s="1"/>
  <c r="I49" i="1" s="1"/>
  <c r="N103" i="1"/>
  <c r="H103" i="1"/>
  <c r="J103" i="1"/>
  <c r="B65" i="2"/>
  <c r="D64" i="2"/>
  <c r="C64" i="2"/>
  <c r="E74" i="4" l="1"/>
  <c r="K74" i="4" s="1"/>
  <c r="E106" i="3"/>
  <c r="K106" i="3" s="1"/>
  <c r="N104" i="1"/>
  <c r="H104" i="1"/>
  <c r="J104" i="1"/>
  <c r="B66" i="2"/>
  <c r="D65" i="2"/>
  <c r="C65" i="2"/>
  <c r="E107" i="3" l="1"/>
  <c r="K107" i="3" s="1"/>
  <c r="E75" i="4"/>
  <c r="K75" i="4" s="1"/>
  <c r="B67" i="2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N99" i="1"/>
  <c r="N43" i="1"/>
  <c r="I50" i="1" l="1"/>
  <c r="J50" i="1" s="1"/>
  <c r="J43" i="1"/>
  <c r="H50" i="1"/>
  <c r="N50" i="1"/>
  <c r="H49" i="1"/>
  <c r="H43" i="1"/>
  <c r="J49" i="1"/>
  <c r="N49" i="1"/>
  <c r="E52" i="3" l="1"/>
  <c r="K52" i="3" s="1"/>
  <c r="E41" i="4"/>
  <c r="K41" i="4" s="1"/>
  <c r="E46" i="3"/>
  <c r="K46" i="3" s="1"/>
  <c r="E42" i="4"/>
  <c r="K42" i="4" s="1"/>
  <c r="E53" i="3"/>
  <c r="K53" i="3" s="1"/>
  <c r="I23" i="1"/>
  <c r="J23" i="1" s="1"/>
  <c r="H23" i="1"/>
  <c r="E24" i="4" l="1"/>
  <c r="K24" i="4" s="1"/>
  <c r="E26" i="3"/>
  <c r="K26" i="3" s="1"/>
  <c r="N23" i="1"/>
  <c r="I24" i="1"/>
  <c r="I25" i="1" s="1"/>
  <c r="H24" i="1"/>
  <c r="J24" i="1"/>
  <c r="N24" i="1"/>
  <c r="E27" i="3" l="1"/>
  <c r="K27" i="3" s="1"/>
  <c r="E25" i="4"/>
  <c r="K25" i="4" s="1"/>
  <c r="N25" i="1"/>
  <c r="J25" i="1"/>
  <c r="H25" i="1"/>
  <c r="I26" i="1"/>
  <c r="E28" i="3" l="1"/>
  <c r="K28" i="3" s="1"/>
  <c r="E26" i="4"/>
  <c r="K26" i="4" s="1"/>
  <c r="N26" i="1"/>
  <c r="H26" i="1"/>
  <c r="I27" i="1"/>
  <c r="J26" i="1"/>
  <c r="E29" i="3" l="1"/>
  <c r="K29" i="3" s="1"/>
  <c r="E27" i="4"/>
  <c r="K27" i="4" s="1"/>
  <c r="J27" i="1"/>
  <c r="I28" i="1"/>
  <c r="N27" i="1"/>
  <c r="H27" i="1"/>
  <c r="E30" i="3" l="1"/>
  <c r="K30" i="3" s="1"/>
  <c r="E28" i="4"/>
  <c r="K28" i="4" s="1"/>
  <c r="H28" i="1"/>
  <c r="N28" i="1"/>
  <c r="J28" i="1"/>
  <c r="I29" i="1"/>
  <c r="E29" i="4" l="1"/>
  <c r="K29" i="4" s="1"/>
  <c r="E31" i="3"/>
  <c r="K31" i="3" s="1"/>
  <c r="I30" i="1"/>
  <c r="H29" i="1"/>
  <c r="J29" i="1"/>
  <c r="N29" i="1"/>
  <c r="E30" i="4" l="1"/>
  <c r="K30" i="4" s="1"/>
  <c r="E32" i="3"/>
  <c r="K32" i="3" s="1"/>
  <c r="N30" i="1"/>
  <c r="I31" i="1"/>
  <c r="J30" i="1"/>
  <c r="H30" i="1"/>
  <c r="E31" i="4" l="1"/>
  <c r="K31" i="4" s="1"/>
  <c r="E33" i="3"/>
  <c r="K33" i="3" s="1"/>
  <c r="J31" i="1"/>
  <c r="I32" i="1"/>
  <c r="H31" i="1"/>
  <c r="N31" i="1"/>
  <c r="E34" i="3" l="1"/>
  <c r="K34" i="3" s="1"/>
  <c r="N32" i="1"/>
  <c r="J32" i="1"/>
  <c r="I45" i="1"/>
  <c r="H32" i="1"/>
  <c r="E32" i="4" l="1"/>
  <c r="K32" i="4" s="1"/>
  <c r="E35" i="3"/>
  <c r="K35" i="3" s="1"/>
  <c r="H45" i="1"/>
  <c r="N45" i="1"/>
  <c r="I46" i="1"/>
  <c r="J45" i="1"/>
  <c r="E39" i="4" l="1"/>
  <c r="K39" i="4" s="1"/>
  <c r="E48" i="3"/>
  <c r="K48" i="3" s="1"/>
  <c r="H46" i="1"/>
  <c r="J46" i="1"/>
  <c r="I47" i="1"/>
  <c r="N46" i="1"/>
  <c r="E40" i="4" l="1"/>
  <c r="K40" i="4" s="1"/>
  <c r="E49" i="3"/>
  <c r="K49" i="3" s="1"/>
  <c r="I48" i="1"/>
  <c r="H47" i="1"/>
  <c r="J47" i="1"/>
  <c r="N47" i="1"/>
  <c r="E50" i="3" l="1"/>
  <c r="K50" i="3" s="1"/>
  <c r="N48" i="1"/>
  <c r="J48" i="1"/>
  <c r="H48" i="1"/>
  <c r="E51" i="3" l="1"/>
  <c r="K5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<sst xmlns="http://schemas.openxmlformats.org/spreadsheetml/2006/main" count="2152" uniqueCount="395">
  <si>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</si>
  <si>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</si>
  <si>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</si>
  <si>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</si>
  <si>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</si>
  <si>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</si>
  <si>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</si>
  <si>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</si>
  <si>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</si>
  <si>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</si>
  <si>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BOOL</t>
  </si>
  <si>
    <t>N/A</t>
  </si>
  <si>
    <t>NO</t>
  </si>
  <si>
    <t>SW-2</t>
  </si>
  <si>
    <t>SW-3</t>
  </si>
  <si>
    <t>SW-4</t>
  </si>
  <si>
    <t>SW-5</t>
  </si>
  <si>
    <t>SW-6</t>
  </si>
  <si>
    <t>SW-7</t>
  </si>
  <si>
    <t>SW-8</t>
  </si>
  <si>
    <t>SW-9</t>
  </si>
  <si>
    <t>SW-10</t>
  </si>
  <si>
    <t>SW-11</t>
  </si>
  <si>
    <t>SW-12</t>
  </si>
  <si>
    <t>SW-13</t>
  </si>
  <si>
    <t>SW-14</t>
  </si>
  <si>
    <t>Internal</t>
  </si>
  <si>
    <t>SIG-1</t>
  </si>
  <si>
    <t>SIG-2</t>
  </si>
  <si>
    <t>SIG-3</t>
  </si>
  <si>
    <t>SIG-4</t>
  </si>
  <si>
    <t>SIG-5</t>
  </si>
  <si>
    <t>SIG-6</t>
  </si>
  <si>
    <t>REAL</t>
  </si>
  <si>
    <t>SIG-7</t>
  </si>
  <si>
    <t>SIG-8</t>
  </si>
  <si>
    <t>SIG-9</t>
  </si>
  <si>
    <t>SIG-10</t>
  </si>
  <si>
    <t>SIG-11</t>
  </si>
  <si>
    <t>SIG-12</t>
  </si>
  <si>
    <t>SIG-13</t>
  </si>
  <si>
    <t>SIG-14</t>
  </si>
  <si>
    <t>SIG-15</t>
  </si>
  <si>
    <t>SIG-16</t>
  </si>
  <si>
    <t>SIG-17</t>
  </si>
  <si>
    <t>SIG-18</t>
  </si>
  <si>
    <t>SIG-19</t>
  </si>
  <si>
    <t>SIG-20</t>
  </si>
  <si>
    <t>SIG-21</t>
  </si>
  <si>
    <t>SIG-22</t>
  </si>
  <si>
    <t>SIG-23</t>
  </si>
  <si>
    <t>SIG-24</t>
  </si>
  <si>
    <t>SIG-25</t>
  </si>
  <si>
    <t>Alarm</t>
  </si>
  <si>
    <t>ALM-1</t>
  </si>
  <si>
    <t>ALM-2</t>
  </si>
  <si>
    <t>ALM-3</t>
  </si>
  <si>
    <t>ALM-4</t>
  </si>
  <si>
    <t>ALM-5</t>
  </si>
  <si>
    <t>ALM-6</t>
  </si>
  <si>
    <t>ALM-7</t>
  </si>
  <si>
    <t>ALM-8</t>
  </si>
  <si>
    <t>ALM-9</t>
  </si>
  <si>
    <t>ALM-10</t>
  </si>
  <si>
    <t>ALM-11</t>
  </si>
  <si>
    <t>ALM-12</t>
  </si>
  <si>
    <t>ALM-13</t>
  </si>
  <si>
    <t>ALM-14</t>
  </si>
  <si>
    <t>ALM-15</t>
  </si>
  <si>
    <t>ALM-16</t>
  </si>
  <si>
    <t>ALM-17</t>
  </si>
  <si>
    <t>Fault</t>
  </si>
  <si>
    <t>FLT-1</t>
  </si>
  <si>
    <t>FLT-2</t>
  </si>
  <si>
    <t>FLT-3</t>
  </si>
  <si>
    <t>FLT-4</t>
  </si>
  <si>
    <t>FLT-5</t>
  </si>
  <si>
    <t>FLT-6</t>
  </si>
  <si>
    <t>FLT-7</t>
  </si>
  <si>
    <t>FLT-8</t>
  </si>
  <si>
    <t>Physical</t>
  </si>
  <si>
    <t>PHY-1</t>
  </si>
  <si>
    <t>WORD</t>
  </si>
  <si>
    <t>YES</t>
  </si>
  <si>
    <t>PHY-2</t>
  </si>
  <si>
    <t>INT</t>
  </si>
  <si>
    <t>PHY-3</t>
  </si>
  <si>
    <t>PHY-4</t>
  </si>
  <si>
    <t>PHY-5</t>
  </si>
  <si>
    <t>PHY-6</t>
  </si>
  <si>
    <t>PHY-7</t>
  </si>
  <si>
    <t>PHY-8</t>
  </si>
  <si>
    <t>PHY-9</t>
  </si>
  <si>
    <t>PHY-10</t>
  </si>
  <si>
    <t>PHY-11</t>
  </si>
  <si>
    <t>PHY-12</t>
  </si>
  <si>
    <t>PHY-13</t>
  </si>
  <si>
    <t>PHY-14</t>
  </si>
  <si>
    <t>PHY-15</t>
  </si>
  <si>
    <t>PHY-16</t>
  </si>
  <si>
    <t>PHY-17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</si>
  <si>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</si>
  <si>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</si>
  <si>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</si>
  <si>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</si>
  <si>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</si>
  <si>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</si>
  <si>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</si>
  <si>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</si>
  <si>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</si>
  <si>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</si>
  <si>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</si>
  <si>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</si>
  <si>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</si>
  <si>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</si>
  <si>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</si>
  <si>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</si>
  <si>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</si>
  <si>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</si>
  <si>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</si>
  <si>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</si>
  <si>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</si>
  <si>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</si>
  <si>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</si>
  <si>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FLAG</t>
  </si>
  <si>
    <t>SW-15</t>
  </si>
  <si>
    <t>SW-16</t>
  </si>
  <si>
    <t>INTERNAL I/O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</si>
  <si>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</si>
  <si>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</si>
  <si>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</si>
  <si>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</si>
  <si>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</si>
  <si>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</si>
  <si>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</si>
  <si>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</si>
  <si>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</si>
  <si>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</si>
  <si>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</si>
  <si>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</si>
  <si>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</si>
  <si>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</si>
  <si>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</si>
  <si>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</si>
  <si>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</si>
  <si>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</si>
  <si>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</si>
  <si>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</si>
  <si>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</si>
  <si>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</si>
  <si>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</si>
  <si>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</si>
  <si>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</si>
  <si>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</si>
  <si>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</si>
  <si>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</si>
  <si>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</si>
  <si>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</si>
  <si>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</si>
  <si>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</si>
  <si>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</si>
  <si>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</si>
  <si>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</si>
  <si>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</si>
  <si>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</si>
  <si>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</si>
  <si>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</si>
  <si>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</si>
  <si>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</si>
  <si>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</si>
  <si>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</si>
  <si>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</si>
  <si>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</si>
  <si>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</si>
  <si>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</si>
  <si>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</si>
  <si>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</si>
  <si>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</si>
  <si>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</si>
  <si>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</si>
  <si>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</si>
  <si>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</si>
  <si>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</si>
  <si>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</si>
  <si>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</si>
  <si>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</si>
  <si>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</si>
  <si>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SIG-33</t>
  </si>
  <si>
    <t>SIG-34</t>
  </si>
  <si>
    <t>SIG-35</t>
  </si>
  <si>
    <t>N?A</t>
  </si>
  <si>
    <t>SIG-36</t>
  </si>
  <si>
    <t>SIG-37</t>
  </si>
  <si>
    <t>AVAILABLE</t>
  </si>
  <si>
    <t>Validated</t>
  </si>
  <si>
    <t>SIG-38</t>
  </si>
  <si>
    <t>SIG-39</t>
  </si>
  <si>
    <t>SYSTEM</t>
  </si>
  <si>
    <t>VALVE</t>
  </si>
  <si>
    <t>PUMP</t>
  </si>
  <si>
    <t>FAN</t>
  </si>
  <si>
    <t>CONDUCTIVITY</t>
  </si>
  <si>
    <t>FLOW</t>
  </si>
  <si>
    <t>RTD</t>
  </si>
  <si>
    <t>PRESSURE</t>
  </si>
  <si>
    <t>LEVEL</t>
  </si>
  <si>
    <t>PUMP, FLOW, PRESSURE</t>
  </si>
  <si>
    <t>Instrument</t>
  </si>
  <si>
    <t>GP-Pro EX</t>
  </si>
  <si>
    <t>File Type</t>
  </si>
  <si>
    <t>File Version</t>
  </si>
  <si>
    <t>SymbolVariable</t>
  </si>
  <si>
    <t>Index</t>
  </si>
  <si>
    <t>Type</t>
  </si>
  <si>
    <t>External/Internal</t>
  </si>
  <si>
    <t>Address</t>
  </si>
  <si>
    <t>Keep</t>
  </si>
  <si>
    <t>Comment</t>
  </si>
  <si>
    <t>Proface Data Type</t>
  </si>
  <si>
    <t>WordAddress</t>
  </si>
  <si>
    <t>PLC1</t>
  </si>
  <si>
    <t>BitAddress</t>
  </si>
  <si>
    <t>SIG-40</t>
  </si>
  <si>
    <t>STRING</t>
  </si>
  <si>
    <t>sStatus</t>
  </si>
  <si>
    <t>TEXT</t>
  </si>
  <si>
    <t>"Name","Index","Type","External/Internal","Address","Keep","Comment"</t>
  </si>
  <si>
    <t>System Start,,BitAddress,PLC1,012289,,</t>
  </si>
  <si>
    <t>"GP-Pro EX"</t>
  </si>
  <si>
    <t>"File Type","SymbolVariable"</t>
  </si>
  <si>
    <t>"File Version","3","0"</t>
  </si>
  <si>
    <t>System Shutdown,,BitAddress,PLC1,012290,,</t>
  </si>
  <si>
    <t>Simplex Mode,,BitAddress,PLC1,012291,,</t>
  </si>
  <si>
    <t>Manual Turnover,,BitAddress,PLC1,012292,,</t>
  </si>
  <si>
    <t>Enable Manual Valve Control,,BitAddress,PLC1,012293,,</t>
  </si>
  <si>
    <t>Enable Manual Fan Control,,BitAddress,PLC1,012294,,</t>
  </si>
  <si>
    <t>AVAILABLE,,BitAddress,PLC1,012295,,</t>
  </si>
  <si>
    <t>Force Fan 1 On/Off,,BitAddress,PLC1,012296,,</t>
  </si>
  <si>
    <t>Force Fan 2 On/Off,,BitAddress,PLC1,012297,,</t>
  </si>
  <si>
    <t>Primary Hydraulic Fault ACK,,BitAddress,PLC1,012298,,</t>
  </si>
  <si>
    <t>Secondary Hydraulic Fault ACK,,BitAddress,PLC1,012299,,</t>
  </si>
  <si>
    <t>Enable Pump Cycling,,BitAddress,PLC1,012300,,</t>
  </si>
  <si>
    <t>Reset Pump Differential Signal,,BitAddress,PLC1,012301,,</t>
  </si>
  <si>
    <t>Fault ACK,,BitAddress,PLC1,012302,,</t>
  </si>
  <si>
    <t>System On,,BitAddress,PLC1,012305,,</t>
  </si>
  <si>
    <t>System Shutting Down,,BitAddress,PLC1,012306,,</t>
  </si>
  <si>
    <t>System Initializing,,BitAddress,PLC1,012307,,</t>
  </si>
  <si>
    <t>System Calibrating,,BitAddress,PLC1,012308,,</t>
  </si>
  <si>
    <t>Measured Pump Power,,WordAddress,PLC1,412557,,</t>
  </si>
  <si>
    <t>Measured Inlet Coolant Temperature,,WordAddress,PLC1,412559,,</t>
  </si>
  <si>
    <t>Measured Conductivity,,WordAddress,PLC1,412561,,</t>
  </si>
  <si>
    <t>Measured Flow,,WordAddress,PLC1,412563,,</t>
  </si>
  <si>
    <t>Valve Open Percentage,,WordAddress,PLC1,412565,,</t>
  </si>
  <si>
    <t>Real RTD 1 Signal,,WordAddress,PLC1,412567,,</t>
  </si>
  <si>
    <t>Real RTD 2 Signal,,WordAddress,PLC1,412569,,</t>
  </si>
  <si>
    <t>Real RTD 3 Signal,,WordAddress,PLC1,412571,,</t>
  </si>
  <si>
    <t>Measured Valve Position ,,WordAddress,PLC1,412575,,</t>
  </si>
  <si>
    <t>Debounced Water Level Low Signal,,WordAddress,PLC1,012309,,</t>
  </si>
  <si>
    <t>Output Water Level Low Signal,,BitAddress,PLC1,012314,,</t>
  </si>
  <si>
    <t>Output Water Level Low Low Signal,,BitAddress,PLC1,012315,,</t>
  </si>
  <si>
    <t>Output Pressure Signal,,BitAddress,PLC1,012316,,</t>
  </si>
  <si>
    <t>Output Conductivity Alarm Signal,,BitAddress,PLC1,012317,,</t>
  </si>
  <si>
    <t>Output Conductivity Fault Signal,,BitAddress,PLC1,012318,,</t>
  </si>
  <si>
    <t>Measured Active Pump  Voltage,,WordAddress,PLC1,412577,,</t>
  </si>
  <si>
    <t>Measured Active Pump  Current,,WordAddress,PLC1,412579,,</t>
  </si>
  <si>
    <t>Pump 1 Total Hours,,WordAddress,PLC1,412455,,</t>
  </si>
  <si>
    <t>Pump 2 Total Hours,,WordAddress,PLC1,412457,,</t>
  </si>
  <si>
    <t>High Coolant Temperature ,,BitAddress,PLC1,012320,,</t>
  </si>
  <si>
    <t>Low Coolant Level in Vessel,,BitAddress,PLC1,012321,,</t>
  </si>
  <si>
    <t>High Coolant Conductivity ,,BitAddress,PLC1,012322,,</t>
  </si>
  <si>
    <t>Low Hydraulic Power,,BitAddress,PLC1,012323,,</t>
  </si>
  <si>
    <t>Low Hydraulic Flow,,BitAddress,PLC1,012324,,</t>
  </si>
  <si>
    <t>Low Hydraulic Pressure,,BitAddress,PLC1,012325,,</t>
  </si>
  <si>
    <t>Voltage Signal Malfunction,,BitAddress,PLC1,012326,,</t>
  </si>
  <si>
    <t>Current Signal Malfunction,,BitAddress,PLC1,012327,,</t>
  </si>
  <si>
    <t>Primary Hydraulic Failure,,BitAddress,PLC1,012328,,</t>
  </si>
  <si>
    <t>Secondary Hydraulic Failure,,BitAddress,PLC1,012329,,</t>
  </si>
  <si>
    <t>Automatic Valve Control Disabled,,BitAddress,PLC1,012330,,</t>
  </si>
  <si>
    <t>Automatic Fan Control Disabled,,BitAddress,PLC1,012331,,</t>
  </si>
  <si>
    <t>Flow Signal Malfunction,,BitAddress,PLC1,012332,,</t>
  </si>
  <si>
    <t>Bad RTD 1 Signal,,BitAddress,PLC1,012333,,</t>
  </si>
  <si>
    <t>Bad RTD 2 Signal,,BitAddress,PLC1,012334,,</t>
  </si>
  <si>
    <t>Bad RTD 3 Signal,,BitAddress,PLC1,012335,,</t>
  </si>
  <si>
    <t>Pump Cycle Alarm,,BitAddress,PLC1,012336,,</t>
  </si>
  <si>
    <t>Critical Temperature,,BitAddress,PLC1,012337,,</t>
  </si>
  <si>
    <t>Critical Vessel Level,,BitAddress,PLC1,012338,,</t>
  </si>
  <si>
    <t>Critical Conductivity,,BitAddress,PLC1,012339,,</t>
  </si>
  <si>
    <t>Level Sensor Malfunction,,BitAddress,PLC1,012340,,</t>
  </si>
  <si>
    <t>Conductivity Sensor Malfunction,,BitAddress,PLC1,012341,,</t>
  </si>
  <si>
    <t>Bingo Pumps,,BitAddress,PLC1,012342,,</t>
  </si>
  <si>
    <t>Temperature Sensor Malfunction,,BitAddress,PLC1,012343,,</t>
  </si>
  <si>
    <t>Bad Valve Pos,,BitAddress,PLC1,012344,,</t>
  </si>
  <si>
    <t>Master Fault Signal,,BitAddress,PLC1,012345,,</t>
  </si>
  <si>
    <t>Primary Pump Active,,BitAddress,PLC1,012346,,</t>
  </si>
  <si>
    <t>Secondary Pump  Active,,BitAddress,PLC1,012347,,</t>
  </si>
  <si>
    <t>Simplex Mode Active,,BitAddress,PLC1,012348,,</t>
  </si>
  <si>
    <t>Fan 1 Active,,BitAddress,PLC1,012349,,</t>
  </si>
  <si>
    <t>Fan 2 Active,,BitAddress,PLC1,012350,,</t>
  </si>
  <si>
    <t>Enable Pump Cycling,,BitAddress,PLC1,012351,,</t>
  </si>
  <si>
    <t>System Diagnostics,,BitAddress,PLC1,012352,,</t>
  </si>
  <si>
    <t>Status Indicator Text,,WordAddress,PLC1,012683,,</t>
  </si>
  <si>
    <t>Master_Switch</t>
  </si>
  <si>
    <t>System_Start</t>
  </si>
  <si>
    <t>System_Shutdown</t>
  </si>
  <si>
    <t>Simplex_Mode</t>
  </si>
  <si>
    <t>Manual_Turnover</t>
  </si>
  <si>
    <t>Enable_Manual_Valve_Control</t>
  </si>
  <si>
    <t>Enable_Manual_Fan_Control</t>
  </si>
  <si>
    <t>Force_Fan_1_On/Off</t>
  </si>
  <si>
    <t>Force_Fan_2_On/Off</t>
  </si>
  <si>
    <t>Primary_Hydraulic_Fault_ACK</t>
  </si>
  <si>
    <t>Secondary_Hydraulic_Fault_ACK</t>
  </si>
  <si>
    <t>Enable_Pump_Cycling</t>
  </si>
  <si>
    <t>Reset_Pump_Differential_Signal</t>
  </si>
  <si>
    <t>Fault_ACK</t>
  </si>
  <si>
    <t>System_On</t>
  </si>
  <si>
    <t>System_Shutting_Down</t>
  </si>
  <si>
    <t>System_Initializing</t>
  </si>
  <si>
    <t>System_Calibrating</t>
  </si>
  <si>
    <t>Measured_Pump_Power</t>
  </si>
  <si>
    <t>Measured_Inlet_Coolant_Temperature</t>
  </si>
  <si>
    <t>Measured_Conductivity</t>
  </si>
  <si>
    <t>Measured_Flow</t>
  </si>
  <si>
    <t>Valve_Open_Percentage</t>
  </si>
  <si>
    <t>Real_RTD_1_Signal</t>
  </si>
  <si>
    <t>Real_RTD_2_Signal</t>
  </si>
  <si>
    <t>Real_RTD_3_Signal</t>
  </si>
  <si>
    <t>Measured_Valve_Position_</t>
  </si>
  <si>
    <t>Debounced_Water_Level_Low_Signal</t>
  </si>
  <si>
    <t>Debounced_Water_Level_Low_Low_Signal</t>
  </si>
  <si>
    <t>Debounced_Pressure_Signal</t>
  </si>
  <si>
    <t>Debounced_Conductivity_Alarm_Signal</t>
  </si>
  <si>
    <t>Debounced_Conductivity_Fault_Signal</t>
  </si>
  <si>
    <t>Output_Water_Level_Low_Signal</t>
  </si>
  <si>
    <t>Output_Water_Level_Low_Low_Signal</t>
  </si>
  <si>
    <t>Output_Pressure_Signal</t>
  </si>
  <si>
    <t>Output_Conductivity_Alarm_Signal</t>
  </si>
  <si>
    <t>Output_Conductivity_Fault_Signal</t>
  </si>
  <si>
    <t>Differential_Pump_Hours</t>
  </si>
  <si>
    <t>System_Pulse</t>
  </si>
  <si>
    <t>Measured_Active_Pump__Voltage</t>
  </si>
  <si>
    <t>Measured_Active_Pump__Current</t>
  </si>
  <si>
    <t>Pump_1_Total_Hours</t>
  </si>
  <si>
    <t>Pump_2_Total_Hours</t>
  </si>
  <si>
    <t>High_Coolant_Temperature_</t>
  </si>
  <si>
    <t>Low_Coolant_Level_in_Vessel</t>
  </si>
  <si>
    <t>High_Coolant_Conductivity_</t>
  </si>
  <si>
    <t>Low_Hydraulic_Power</t>
  </si>
  <si>
    <t>Low_Hydraulic_Flow</t>
  </si>
  <si>
    <t>Low_Hydraulic_Pressure</t>
  </si>
  <si>
    <t>Voltage_Signal_Malfunction</t>
  </si>
  <si>
    <t>Current_Signal_Malfunction</t>
  </si>
  <si>
    <t>Primary_Hydraulic_Failure</t>
  </si>
  <si>
    <t>Secondary_Hydraulic_Failure</t>
  </si>
  <si>
    <t>Automatic_Valve_Control_Disabled</t>
  </si>
  <si>
    <t>Automatic_Fan_Control_Disabled</t>
  </si>
  <si>
    <t>Flow_Signal_Malfunction</t>
  </si>
  <si>
    <t>Bad_RTD_1_Signal</t>
  </si>
  <si>
    <t>Bad_RTD_2_Signal</t>
  </si>
  <si>
    <t>Bad_RTD_3_Signal</t>
  </si>
  <si>
    <t>Pump_Cycle_Alarm</t>
  </si>
  <si>
    <t>Critical_Temperature</t>
  </si>
  <si>
    <t>Critical_Vessel_Level</t>
  </si>
  <si>
    <t>Critical_Conductivity</t>
  </si>
  <si>
    <t>Level_Sensor_Malfunction</t>
  </si>
  <si>
    <t>Conductivity_Sensor_Malfunction</t>
  </si>
  <si>
    <t>Bingo_Pumps</t>
  </si>
  <si>
    <t>Temperature_Sensor_Malfunction</t>
  </si>
  <si>
    <t>Bad_Valve_Pos</t>
  </si>
  <si>
    <t>Master_Fault_Signal</t>
  </si>
  <si>
    <t>Conductivity_Analog</t>
  </si>
  <si>
    <t>RTD_1</t>
  </si>
  <si>
    <t>RTD_2</t>
  </si>
  <si>
    <t>RTD_3</t>
  </si>
  <si>
    <t>Flow_Analog</t>
  </si>
  <si>
    <t>Conductivity_Alarm</t>
  </si>
  <si>
    <t>Conductivity_Fault</t>
  </si>
  <si>
    <t>Level_Low_Switch</t>
  </si>
  <si>
    <t>Level_Low_Low_Switch</t>
  </si>
  <si>
    <t>Fan_1_Enable</t>
  </si>
  <si>
    <t>Fan_2_Enable</t>
  </si>
  <si>
    <t>Pump_1_Enable</t>
  </si>
  <si>
    <t>Pump_2_Enable</t>
  </si>
  <si>
    <t>Valve_Actuation_Signal</t>
  </si>
  <si>
    <t>Pressure_Switch_Signal</t>
  </si>
  <si>
    <t>Active_Pump__Current</t>
  </si>
  <si>
    <t>Active_Pump__Voltage</t>
  </si>
  <si>
    <t>Valve_Feedback_Signal</t>
  </si>
  <si>
    <t>Primary_Pump_Active</t>
  </si>
  <si>
    <t>Secondary_Pump__Active</t>
  </si>
  <si>
    <t>Simplex_Mode_Active</t>
  </si>
  <si>
    <t>Fan_1_Active</t>
  </si>
  <si>
    <t>Fan_2_Active</t>
  </si>
  <si>
    <t>System_Diagnostics</t>
  </si>
  <si>
    <t>Status_Indicator_Text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</si>
</sst>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  <font>
      <sz val="8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9" fillId="0" borderId="0" xfId="0" applyFont="1"/>
    <xf numFmtId="0" fontId="7" fillId="0" borderId="0" xfId="0" applyFont="1"/>
    <xf numFmtId="0" fontId="13" fillId="0" borderId="0" xfId="0" applyFont="1"/>
    <xf numFmtId="0" fontId="12" fillId="0" borderId="0" xfId="0" applyFont="1"/>
    <xf numFmtId="0" fontId="6" fillId="0" borderId="0" xfId="0" applyFont="1"/>
    <xf numFmtId="0" fontId="10" fillId="0" borderId="0" xfId="0" applyFont="1"/>
    <xf numFmtId="0" fontId="8" fillId="0" borderId="0" xfId="0" applyFont="1"/>
    <xf numFmtId="0" fontId="5" fillId="0" borderId="0" xfId="0" applyFont="1"/>
    <xf numFmtId="0" fontId="4" fillId="0" borderId="0" xfId="0" applyFont="1"/>
    <xf numFmtId="0" fontId="4" fillId="0" borderId="1" xfId="0" applyFont="1" applyBorder="1"/>
    <xf numFmtId="0" fontId="14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0" borderId="0" xfId="0" applyFont="1" applyFill="1"/>
    <xf numFmtId="0" fontId="10" fillId="0" borderId="0" xfId="0" applyFont="1" applyFill="1"/>
    <xf numFmtId="0" fontId="0" fillId="0" borderId="0" xfId="0" applyFill="1"/>
    <xf numFmtId="0" fontId="0" fillId="0" borderId="0" xfId="0" applyFont="1" applyFill="1"/>
  </cellXfs>
  <cellStyles count="1">
    <cellStyle name="Normal" xfId="0" builtinId="0"/>
  </cellStyles>
  <dxfs count="24"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W106" totalsRowShown="0" headerRowDxfId="23">
  <autoFilter ref="A1:W106" xr:uid="{B28E4E13-ED9D-48D1-8FE5-08F11708F130}"/>
  <tableColumns count="23">
    <tableColumn id="1" xr3:uid="{423FA6DC-9142-4672-A14E-553234A081EF}" name="Signal Type" dataDxfId="22"/>
    <tableColumn id="2" xr3:uid="{56D9DA24-EF6A-4F6A-8733-677B62E46902}" name="Tag No" dataDxfId="21"/>
    <tableColumn id="3" xr3:uid="{A96BC653-60FF-429B-B698-AD90C0B0B0D3}" name="Name" dataDxfId="20"/>
    <tableColumn id="20" xr3:uid="{18691D5F-606F-4A16-B04B-74830D1D8BC1}" name="Instrument" dataDxfId="19"/>
    <tableColumn id="4" xr3:uid="{706A0F32-C352-4264-929A-BBE84E0336CD}" name="Status" dataDxfId="18"/>
    <tableColumn id="5" xr3:uid="{C8D7F886-484A-4506-96D7-825482566CEA}" name="Data Type" dataDxfId="17"/>
    <tableColumn id="6" xr3:uid="{BD2571AB-DE7E-4006-8157-4106695ACD69}" name="Memory Type" dataDxfId="16"/>
    <tableColumn id="7" xr3:uid="{3B62562F-5D5D-4A72-AC30-A11E0297A3A2}" name="PDU Hexadecimal" dataDxfId="15"/>
    <tableColumn id="8" xr3:uid="{8719FB6E-76D0-42CA-A6D4-A07F76F787FE}" name="Modbus Address" dataDxfId="14"/>
    <tableColumn id="9" xr3:uid="{494772C3-DD22-48E6-87F4-54FAD05AA979}" name="Modicon Address" dataDxfId="13"/>
    <tableColumn id="19" xr3:uid="{2564375E-1543-4B77-A111-66D99BB1656A}" name="Proface  Type" dataDxfId="12"/>
    <tableColumn id="23" xr3:uid="{810DD2FA-32AC-4AC6-9BCB-5E8AE7516595}" name="Proface Data Type" dataDxfId="11"/>
    <tableColumn id="21" xr3:uid="{753ED6D6-F73A-4E76-87DB-792F48C2C75C}" name="Size (Bits)" dataDxfId="10"/>
    <tableColumn id="10" xr3:uid="{E8FE6B00-067F-43B4-AFBC-4B31DC0D3ACD}" name="PLC Memory Address" dataDxfId="9"/>
    <tableColumn id="11" xr3:uid="{32B52740-581E-4139-B281-3664B4614465}" name="Position" dataDxfId="8"/>
    <tableColumn id="12" xr3:uid="{E6944375-EF05-45BC-8ADD-793CB19A0ADA}" name="I/O Card Number" dataDxfId="7"/>
    <tableColumn id="13" xr3:uid="{527E8B44-E1FF-4F80-A269-6A31B18D6394}" name="Channel" dataDxfId="6"/>
    <tableColumn id="14" xr3:uid="{E82449CF-F378-4789-9FE2-B0D21BD261F7}" name="I/O" dataDxfId="5"/>
    <tableColumn id="15" xr3:uid="{6CE76123-31FB-4788-B701-5DEA98A3B0AA}" name="Global Variable" dataDxfId="4"/>
    <tableColumn id="16" xr3:uid="{E1175C2D-C54B-4E1D-8F34-46534F2CFC8A}" name="Program Variable Name" dataDxfId="3"/>
    <tableColumn id="17" xr3:uid="{70FE0A90-A798-47C6-B87B-28B2D22A1365}" name="Operator Visiblity" dataDxfId="2"/>
    <tableColumn id="18" xr3:uid="{3FC319EF-8DF3-4168-B3CA-EF31C5FF6669}" name="Deadman" dataDxfId="1"/>
    <tableColumn id="22" xr3:uid="{8E66A915-FC7F-450B-81CE-EE2C726AB2C6}" name="Validat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11"/>
  <sheetViews>
    <sheetView topLeftCell="A98" zoomScale="70" zoomScaleNormal="70" workbookViewId="0">
      <selection activeCell="C89" sqref="C89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4.21875" bestFit="1" customWidth="1"/>
    <col min="4" max="4" width="2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12" width="17.33203125" customWidth="1"/>
    <col min="13" max="13" width="24.5546875" customWidth="1"/>
    <col min="14" max="14" width="11.109375" customWidth="1"/>
    <col min="15" max="15" width="19.33203125" customWidth="1"/>
    <col min="16" max="16" width="11.21875" customWidth="1"/>
    <col min="17" max="17" width="16.6640625" customWidth="1"/>
    <col min="18" max="18" width="15.77734375" customWidth="1"/>
    <col min="19" max="19" width="23" customWidth="1"/>
    <col min="20" max="20" width="17.6640625" customWidth="1"/>
    <col min="21" max="21" width="11.109375" customWidth="1"/>
    <col min="22" max="36" width="8.6640625" customWidth="1"/>
  </cols>
  <sheetData>
    <row r="1" spans="1:23" ht="14.25" customHeight="1" x14ac:dyDescent="0.3">
      <c r="A1" s="1" t="s">
        <v>0</v>
      </c>
      <c r="B1" s="2" t="s">
        <v>1</v>
      </c>
      <c r="C1" s="2" t="s">
        <v>2</v>
      </c>
      <c r="D1" s="2" t="s">
        <v>207</v>
      </c>
      <c r="E1" s="3" t="s">
        <v>139</v>
      </c>
      <c r="F1" s="3" t="s">
        <v>121</v>
      </c>
      <c r="G1" s="3" t="s">
        <v>122</v>
      </c>
      <c r="H1" s="3" t="s">
        <v>114</v>
      </c>
      <c r="I1" s="3" t="s">
        <v>3</v>
      </c>
      <c r="J1" s="3" t="s">
        <v>120</v>
      </c>
      <c r="K1" s="2" t="s">
        <v>182</v>
      </c>
      <c r="L1" s="2" t="s">
        <v>218</v>
      </c>
      <c r="M1" s="2" t="s">
        <v>186</v>
      </c>
      <c r="N1" s="4" t="s">
        <v>115</v>
      </c>
      <c r="O1" s="4" t="s">
        <v>137</v>
      </c>
      <c r="P1" s="4" t="s">
        <v>135</v>
      </c>
      <c r="Q1" s="4" t="s">
        <v>136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106</v>
      </c>
      <c r="W1" s="11" t="s">
        <v>194</v>
      </c>
    </row>
    <row r="2" spans="1:23" ht="14.25" customHeight="1" x14ac:dyDescent="0.3">
      <c r="A2" s="5" t="s">
        <v>8</v>
      </c>
      <c r="B2" s="6" t="s">
        <v>113</v>
      </c>
      <c r="C2" s="6" t="s">
        <v>301</v>
      </c>
      <c r="D2" s="6" t="s">
        <v>197</v>
      </c>
      <c r="E2" s="6" t="s">
        <v>140</v>
      </c>
      <c r="F2" s="6" t="s">
        <v>11</v>
      </c>
      <c r="G2" s="5" t="s">
        <v>11</v>
      </c>
      <c r="H2" s="5" t="s">
        <v>11</v>
      </c>
      <c r="I2" s="6" t="s">
        <v>11</v>
      </c>
      <c r="J2" s="5" t="s">
        <v>11</v>
      </c>
      <c r="K2" s="8" t="s">
        <v>11</v>
      </c>
      <c r="L2" s="8"/>
      <c r="M2" s="8" t="s">
        <v>11</v>
      </c>
      <c r="N2" s="5" t="s">
        <v>11</v>
      </c>
      <c r="O2" s="5" t="s">
        <v>11</v>
      </c>
      <c r="P2" s="5" t="s">
        <v>11</v>
      </c>
      <c r="Q2" s="5" t="s">
        <v>11</v>
      </c>
      <c r="R2" s="5" t="s">
        <v>11</v>
      </c>
      <c r="S2" s="5" t="s">
        <v>11</v>
      </c>
      <c r="T2" s="5" t="s">
        <v>161</v>
      </c>
      <c r="U2" s="6" t="s">
        <v>83</v>
      </c>
      <c r="V2" s="6" t="s">
        <v>12</v>
      </c>
      <c r="W2" s="12" t="b">
        <v>1</v>
      </c>
    </row>
    <row r="3" spans="1:23" ht="14.25" customHeight="1" x14ac:dyDescent="0.3">
      <c r="A3" s="5" t="s">
        <v>8</v>
      </c>
      <c r="B3" s="7" t="s">
        <v>9</v>
      </c>
      <c r="C3" s="7" t="s">
        <v>302</v>
      </c>
      <c r="D3" s="14" t="s">
        <v>197</v>
      </c>
      <c r="E3" s="6" t="s">
        <v>140</v>
      </c>
      <c r="F3" s="7" t="s">
        <v>10</v>
      </c>
      <c r="G3" s="5" t="s">
        <v>124</v>
      </c>
      <c r="H3" s="5" t="str">
        <f t="shared" ref="H3:H34" si="0">_xlfn.CONCAT("0x",DEC2HEX(I3))</f>
        <v>0x3000</v>
      </c>
      <c r="I3" s="7" cm="1">
        <f t="array" ref="I3">INDEX('Mapping Sheet'!B:B,'Mapping Sheet'!A1,1)</f>
        <v>12288</v>
      </c>
      <c r="J3" s="6" t="str">
        <f t="shared" ref="J3:J22" si="1">_xlfn.CONCAT(0,I3+1)</f>
        <v>012289</v>
      </c>
      <c r="K3" s="6" t="s">
        <v>181</v>
      </c>
      <c r="L3" s="6" t="s">
        <v>221</v>
      </c>
      <c r="M3" s="6">
        <v>1</v>
      </c>
      <c r="N3" s="7" t="str">
        <f>_xlfn.CONCAT("%MX",INDEX('Mapping Sheet'!E:E,Table1[[#This Row],[Modbus Address]]-12287,1),".",INDEX('Mapping Sheet'!F:F,Table1[[#This Row],[Modbus Address]]-12287,1))</f>
        <v>%MX0.0</v>
      </c>
      <c r="O3" s="5" t="s">
        <v>11</v>
      </c>
      <c r="P3" s="5" t="s">
        <v>11</v>
      </c>
      <c r="Q3" s="5" t="s">
        <v>11</v>
      </c>
      <c r="R3" s="7" t="s">
        <v>11</v>
      </c>
      <c r="S3" s="7" t="s">
        <v>12</v>
      </c>
      <c r="T3" t="str">
        <f t="shared" ref="T3:T18" si="2">_xlfn.CONCAT("axSW[",AB1, "]")</f>
        <v>axSW[]</v>
      </c>
      <c r="U3" s="6" t="s">
        <v>83</v>
      </c>
      <c r="V3" s="6" t="s">
        <v>12</v>
      </c>
      <c r="W3" s="12" t="b">
        <v>1</v>
      </c>
    </row>
    <row r="4" spans="1:23" ht="14.25" customHeight="1" x14ac:dyDescent="0.3">
      <c r="A4" s="5" t="s">
        <v>8</v>
      </c>
      <c r="B4" s="7" t="s">
        <v>13</v>
      </c>
      <c r="C4" s="7" t="s">
        <v>303</v>
      </c>
      <c r="D4" s="14" t="s">
        <v>197</v>
      </c>
      <c r="E4" s="6" t="s">
        <v>140</v>
      </c>
      <c r="F4" s="7" t="s">
        <v>10</v>
      </c>
      <c r="G4" s="5" t="s">
        <v>124</v>
      </c>
      <c r="H4" s="5" t="str">
        <f t="shared" si="0"/>
        <v>0x3001</v>
      </c>
      <c r="I4" s="7">
        <f t="shared" ref="I4:I22" si="3">I3+1</f>
        <v>12289</v>
      </c>
      <c r="J4" s="6" t="str">
        <f t="shared" si="1"/>
        <v>012290</v>
      </c>
      <c r="K4" s="6" t="s">
        <v>181</v>
      </c>
      <c r="L4" s="6" t="s">
        <v>221</v>
      </c>
      <c r="M4" s="6">
        <v>1</v>
      </c>
      <c r="N4" s="7" t="str">
        <f>_xlfn.CONCAT("%MX",INDEX('Mapping Sheet'!E:E,Table1[[#This Row],[Modbus Address]]-12287,1),".",INDEX('Mapping Sheet'!F:F,Table1[[#This Row],[Modbus Address]]-12287,1))</f>
        <v>%MX0.1</v>
      </c>
      <c r="O4" s="5" t="s">
        <v>11</v>
      </c>
      <c r="P4" s="5" t="s">
        <v>11</v>
      </c>
      <c r="Q4" s="5" t="s">
        <v>11</v>
      </c>
      <c r="R4" s="7" t="s">
        <v>11</v>
      </c>
      <c r="S4" s="7" t="s">
        <v>12</v>
      </c>
      <c r="T4" t="str">
        <f t="shared" si="2"/>
        <v>axSW[]</v>
      </c>
      <c r="U4" s="6" t="s">
        <v>83</v>
      </c>
      <c r="V4" s="6" t="s">
        <v>12</v>
      </c>
      <c r="W4" s="12" t="b">
        <v>1</v>
      </c>
    </row>
    <row r="5" spans="1:23" ht="14.25" customHeight="1" x14ac:dyDescent="0.3">
      <c r="A5" s="5" t="s">
        <v>8</v>
      </c>
      <c r="B5" s="7" t="s">
        <v>14</v>
      </c>
      <c r="C5" s="7" t="s">
        <v>304</v>
      </c>
      <c r="D5" s="14" t="s">
        <v>199</v>
      </c>
      <c r="E5" s="6" t="s">
        <v>140</v>
      </c>
      <c r="F5" s="7" t="s">
        <v>10</v>
      </c>
      <c r="G5" s="5" t="s">
        <v>124</v>
      </c>
      <c r="H5" s="5" t="str">
        <f t="shared" si="0"/>
        <v>0x3002</v>
      </c>
      <c r="I5" s="7">
        <f t="shared" si="3"/>
        <v>12290</v>
      </c>
      <c r="J5" s="6" t="str">
        <f t="shared" si="1"/>
        <v>012291</v>
      </c>
      <c r="K5" s="6" t="s">
        <v>181</v>
      </c>
      <c r="L5" s="6" t="s">
        <v>221</v>
      </c>
      <c r="M5" s="6">
        <v>1</v>
      </c>
      <c r="N5" s="7" t="str">
        <f>_xlfn.CONCAT("%MX",INDEX('Mapping Sheet'!E:E,Table1[[#This Row],[Modbus Address]]-12287,1),".",INDEX('Mapping Sheet'!F:F,Table1[[#This Row],[Modbus Address]]-12287,1))</f>
        <v>%MX0.2</v>
      </c>
      <c r="O5" s="5" t="s">
        <v>11</v>
      </c>
      <c r="P5" s="5" t="s">
        <v>11</v>
      </c>
      <c r="Q5" s="5" t="s">
        <v>11</v>
      </c>
      <c r="R5" s="7" t="s">
        <v>11</v>
      </c>
      <c r="S5" s="7" t="s">
        <v>12</v>
      </c>
      <c r="T5" t="str">
        <f t="shared" si="2"/>
        <v>axSW[]</v>
      </c>
      <c r="U5" s="6" t="s">
        <v>83</v>
      </c>
      <c r="V5" s="6" t="s">
        <v>12</v>
      </c>
      <c r="W5" s="12" t="b">
        <v>1</v>
      </c>
    </row>
    <row r="6" spans="1:23" ht="14.25" customHeight="1" x14ac:dyDescent="0.3">
      <c r="A6" s="5" t="s">
        <v>8</v>
      </c>
      <c r="B6" s="7" t="s">
        <v>15</v>
      </c>
      <c r="C6" s="7" t="s">
        <v>305</v>
      </c>
      <c r="D6" s="14" t="s">
        <v>199</v>
      </c>
      <c r="E6" s="6" t="s">
        <v>140</v>
      </c>
      <c r="F6" s="7" t="s">
        <v>10</v>
      </c>
      <c r="G6" s="5" t="s">
        <v>124</v>
      </c>
      <c r="H6" s="5" t="str">
        <f t="shared" si="0"/>
        <v>0x3003</v>
      </c>
      <c r="I6" s="7">
        <f t="shared" si="3"/>
        <v>12291</v>
      </c>
      <c r="J6" s="6" t="str">
        <f t="shared" si="1"/>
        <v>012292</v>
      </c>
      <c r="K6" s="6" t="s">
        <v>181</v>
      </c>
      <c r="L6" s="6" t="s">
        <v>221</v>
      </c>
      <c r="M6" s="6">
        <v>1</v>
      </c>
      <c r="N6" s="7" t="str">
        <f>_xlfn.CONCAT("%MX",INDEX('Mapping Sheet'!E:E,Table1[[#This Row],[Modbus Address]]-12287,1),".",INDEX('Mapping Sheet'!F:F,Table1[[#This Row],[Modbus Address]]-12287,1))</f>
        <v>%MX0.3</v>
      </c>
      <c r="O6" s="5" t="s">
        <v>11</v>
      </c>
      <c r="P6" s="5" t="s">
        <v>11</v>
      </c>
      <c r="Q6" s="5" t="s">
        <v>11</v>
      </c>
      <c r="R6" s="7" t="s">
        <v>11</v>
      </c>
      <c r="S6" s="7" t="s">
        <v>12</v>
      </c>
      <c r="T6" t="str">
        <f t="shared" si="2"/>
        <v>axSW[]</v>
      </c>
      <c r="U6" s="6" t="s">
        <v>83</v>
      </c>
      <c r="V6" s="6" t="s">
        <v>12</v>
      </c>
      <c r="W6" s="12" t="b">
        <v>1</v>
      </c>
    </row>
    <row r="7" spans="1:23" ht="14.25" customHeight="1" x14ac:dyDescent="0.3">
      <c r="A7" s="5" t="s">
        <v>8</v>
      </c>
      <c r="B7" s="7" t="s">
        <v>16</v>
      </c>
      <c r="C7" s="7" t="s">
        <v>306</v>
      </c>
      <c r="D7" s="14" t="s">
        <v>198</v>
      </c>
      <c r="E7" s="6" t="s">
        <v>140</v>
      </c>
      <c r="F7" s="7" t="s">
        <v>10</v>
      </c>
      <c r="G7" s="5" t="s">
        <v>124</v>
      </c>
      <c r="H7" s="5" t="str">
        <f t="shared" si="0"/>
        <v>0x3004</v>
      </c>
      <c r="I7" s="7">
        <f t="shared" si="3"/>
        <v>12292</v>
      </c>
      <c r="J7" s="6" t="str">
        <f t="shared" si="1"/>
        <v>012293</v>
      </c>
      <c r="K7" s="6" t="s">
        <v>183</v>
      </c>
      <c r="L7" s="6" t="s">
        <v>221</v>
      </c>
      <c r="M7" s="6">
        <v>1</v>
      </c>
      <c r="N7" s="7" t="str">
        <f>_xlfn.CONCAT("%MX",INDEX('Mapping Sheet'!E:E,Table1[[#This Row],[Modbus Address]]-12287,1),".",INDEX('Mapping Sheet'!F:F,Table1[[#This Row],[Modbus Address]]-12287,1))</f>
        <v>%MX0.4</v>
      </c>
      <c r="O7" s="5" t="s">
        <v>11</v>
      </c>
      <c r="P7" s="5" t="s">
        <v>11</v>
      </c>
      <c r="Q7" s="5" t="s">
        <v>11</v>
      </c>
      <c r="R7" s="7" t="s">
        <v>11</v>
      </c>
      <c r="S7" s="7" t="s">
        <v>12</v>
      </c>
      <c r="T7" t="str">
        <f t="shared" si="2"/>
        <v>axSW[]</v>
      </c>
      <c r="U7" s="6" t="s">
        <v>83</v>
      </c>
      <c r="V7" s="5" t="s">
        <v>83</v>
      </c>
      <c r="W7" s="12" t="b">
        <v>0</v>
      </c>
    </row>
    <row r="8" spans="1:23" ht="14.25" customHeight="1" x14ac:dyDescent="0.3">
      <c r="A8" s="5" t="s">
        <v>8</v>
      </c>
      <c r="B8" s="7" t="s">
        <v>17</v>
      </c>
      <c r="C8" s="7" t="s">
        <v>307</v>
      </c>
      <c r="D8" s="14" t="s">
        <v>200</v>
      </c>
      <c r="E8" s="6" t="s">
        <v>140</v>
      </c>
      <c r="F8" s="7" t="s">
        <v>10</v>
      </c>
      <c r="G8" s="5" t="s">
        <v>124</v>
      </c>
      <c r="H8" s="5" t="str">
        <f t="shared" si="0"/>
        <v>0x3005</v>
      </c>
      <c r="I8" s="7">
        <f t="shared" si="3"/>
        <v>12293</v>
      </c>
      <c r="J8" s="6" t="str">
        <f t="shared" si="1"/>
        <v>012294</v>
      </c>
      <c r="K8" s="6" t="s">
        <v>183</v>
      </c>
      <c r="L8" s="6" t="s">
        <v>221</v>
      </c>
      <c r="M8" s="6">
        <v>1</v>
      </c>
      <c r="N8" s="7" t="str">
        <f>_xlfn.CONCAT("%MX",INDEX('Mapping Sheet'!E:E,Table1[[#This Row],[Modbus Address]]-12287,1),".",INDEX('Mapping Sheet'!F:F,Table1[[#This Row],[Modbus Address]]-12287,1))</f>
        <v>%MX0.5</v>
      </c>
      <c r="O8" s="5" t="s">
        <v>11</v>
      </c>
      <c r="P8" s="5" t="s">
        <v>11</v>
      </c>
      <c r="Q8" s="5" t="s">
        <v>11</v>
      </c>
      <c r="R8" s="7" t="s">
        <v>11</v>
      </c>
      <c r="S8" s="7" t="s">
        <v>12</v>
      </c>
      <c r="T8" t="str">
        <f t="shared" si="2"/>
        <v>axSW[]</v>
      </c>
      <c r="U8" s="6" t="s">
        <v>83</v>
      </c>
      <c r="V8" s="5" t="s">
        <v>83</v>
      </c>
      <c r="W8" s="12" t="b">
        <v>1</v>
      </c>
    </row>
    <row r="9" spans="1:23" ht="14.25" customHeight="1" x14ac:dyDescent="0.3">
      <c r="A9" s="5" t="s">
        <v>8</v>
      </c>
      <c r="B9" s="7" t="s">
        <v>18</v>
      </c>
      <c r="C9" s="7" t="s">
        <v>193</v>
      </c>
      <c r="D9" s="14" t="s">
        <v>11</v>
      </c>
      <c r="E9" s="6" t="s">
        <v>141</v>
      </c>
      <c r="F9" s="7" t="s">
        <v>10</v>
      </c>
      <c r="G9" s="5" t="s">
        <v>124</v>
      </c>
      <c r="H9" s="5" t="str">
        <f t="shared" si="0"/>
        <v>0x3006</v>
      </c>
      <c r="I9" s="7">
        <f t="shared" si="3"/>
        <v>12294</v>
      </c>
      <c r="J9" s="6" t="str">
        <f t="shared" si="1"/>
        <v>012295</v>
      </c>
      <c r="K9" s="6" t="s">
        <v>11</v>
      </c>
      <c r="L9" s="6" t="s">
        <v>221</v>
      </c>
      <c r="M9" s="6">
        <v>1</v>
      </c>
      <c r="N9" s="7" t="str">
        <f>_xlfn.CONCAT("%MX",INDEX('Mapping Sheet'!E:E,Table1[[#This Row],[Modbus Address]]-12287,1),".",INDEX('Mapping Sheet'!F:F,Table1[[#This Row],[Modbus Address]]-12287,1))</f>
        <v>%MX0.6</v>
      </c>
      <c r="O9" s="5" t="s">
        <v>11</v>
      </c>
      <c r="P9" s="5" t="s">
        <v>11</v>
      </c>
      <c r="Q9" s="5" t="s">
        <v>11</v>
      </c>
      <c r="R9" s="7" t="s">
        <v>11</v>
      </c>
      <c r="S9" s="7" t="s">
        <v>12</v>
      </c>
      <c r="T9" t="str">
        <f t="shared" si="2"/>
        <v>axSW[]</v>
      </c>
      <c r="U9" s="6" t="s">
        <v>83</v>
      </c>
      <c r="V9" s="5" t="s">
        <v>12</v>
      </c>
      <c r="W9" s="12" t="b">
        <v>0</v>
      </c>
    </row>
    <row r="10" spans="1:23" ht="14.25" customHeight="1" x14ac:dyDescent="0.3">
      <c r="A10" s="5" t="s">
        <v>8</v>
      </c>
      <c r="B10" s="7" t="s">
        <v>19</v>
      </c>
      <c r="C10" s="7" t="s">
        <v>308</v>
      </c>
      <c r="D10" s="14" t="s">
        <v>200</v>
      </c>
      <c r="E10" s="6" t="s">
        <v>140</v>
      </c>
      <c r="F10" s="7" t="s">
        <v>10</v>
      </c>
      <c r="G10" s="5" t="s">
        <v>124</v>
      </c>
      <c r="H10" s="5" t="str">
        <f t="shared" si="0"/>
        <v>0x3007</v>
      </c>
      <c r="I10" s="7">
        <f t="shared" si="3"/>
        <v>12295</v>
      </c>
      <c r="J10" s="6" t="str">
        <f t="shared" si="1"/>
        <v>012296</v>
      </c>
      <c r="K10" s="6" t="s">
        <v>183</v>
      </c>
      <c r="L10" s="6" t="s">
        <v>221</v>
      </c>
      <c r="M10" s="6">
        <v>1</v>
      </c>
      <c r="N10" s="7" t="str">
        <f>_xlfn.CONCAT("%MX",INDEX('Mapping Sheet'!E:E,Table1[[#This Row],[Modbus Address]]-12287,1),".",INDEX('Mapping Sheet'!F:F,Table1[[#This Row],[Modbus Address]]-12287,1))</f>
        <v>%MX0.7</v>
      </c>
      <c r="O10" s="5" t="s">
        <v>11</v>
      </c>
      <c r="P10" s="5" t="s">
        <v>11</v>
      </c>
      <c r="Q10" s="5" t="s">
        <v>11</v>
      </c>
      <c r="R10" s="7" t="s">
        <v>11</v>
      </c>
      <c r="S10" s="7" t="s">
        <v>12</v>
      </c>
      <c r="T10" t="str">
        <f t="shared" si="2"/>
        <v>axSW[]</v>
      </c>
      <c r="U10" s="6" t="s">
        <v>83</v>
      </c>
      <c r="V10" s="5" t="s">
        <v>12</v>
      </c>
      <c r="W10" s="12" t="b">
        <v>1</v>
      </c>
    </row>
    <row r="11" spans="1:23" ht="14.25" customHeight="1" x14ac:dyDescent="0.3">
      <c r="A11" s="5" t="s">
        <v>8</v>
      </c>
      <c r="B11" s="7" t="s">
        <v>20</v>
      </c>
      <c r="C11" s="7" t="s">
        <v>309</v>
      </c>
      <c r="D11" s="14" t="s">
        <v>200</v>
      </c>
      <c r="E11" s="6" t="s">
        <v>140</v>
      </c>
      <c r="F11" s="7" t="s">
        <v>10</v>
      </c>
      <c r="G11" s="13" t="s">
        <v>124</v>
      </c>
      <c r="H11" s="5" t="str">
        <f t="shared" si="0"/>
        <v>0x3008</v>
      </c>
      <c r="I11" s="7">
        <f t="shared" si="3"/>
        <v>12296</v>
      </c>
      <c r="J11" s="6" t="str">
        <f t="shared" si="1"/>
        <v>012297</v>
      </c>
      <c r="K11" s="6" t="s">
        <v>183</v>
      </c>
      <c r="L11" s="6" t="s">
        <v>221</v>
      </c>
      <c r="M11" s="6">
        <v>1</v>
      </c>
      <c r="N11" s="7" t="str">
        <f>_xlfn.CONCAT("%MX",INDEX('Mapping Sheet'!E:E,Table1[[#This Row],[Modbus Address]]-12287,1),".",INDEX('Mapping Sheet'!F:F,Table1[[#This Row],[Modbus Address]]-12287,1))</f>
        <v>%MX0.8</v>
      </c>
      <c r="O11" s="5" t="s">
        <v>11</v>
      </c>
      <c r="P11" s="5" t="s">
        <v>11</v>
      </c>
      <c r="Q11" s="5" t="s">
        <v>11</v>
      </c>
      <c r="R11" s="7" t="s">
        <v>11</v>
      </c>
      <c r="S11" s="7" t="s">
        <v>12</v>
      </c>
      <c r="T11" t="str">
        <f t="shared" si="2"/>
        <v>axSW[]</v>
      </c>
      <c r="U11" s="6" t="s">
        <v>83</v>
      </c>
      <c r="V11" s="5" t="s">
        <v>12</v>
      </c>
      <c r="W11" s="12" t="b">
        <v>1</v>
      </c>
    </row>
    <row r="12" spans="1:23" ht="14.25" customHeight="1" x14ac:dyDescent="0.3">
      <c r="A12" s="5" t="s">
        <v>8</v>
      </c>
      <c r="B12" s="7" t="s">
        <v>21</v>
      </c>
      <c r="C12" s="7" t="s">
        <v>310</v>
      </c>
      <c r="D12" s="14" t="s">
        <v>206</v>
      </c>
      <c r="E12" s="6" t="s">
        <v>140</v>
      </c>
      <c r="F12" s="7" t="s">
        <v>10</v>
      </c>
      <c r="G12" s="5" t="s">
        <v>124</v>
      </c>
      <c r="H12" s="5" t="str">
        <f t="shared" si="0"/>
        <v>0x3009</v>
      </c>
      <c r="I12" s="7">
        <f t="shared" si="3"/>
        <v>12297</v>
      </c>
      <c r="J12" s="6" t="str">
        <f t="shared" si="1"/>
        <v>012298</v>
      </c>
      <c r="K12" s="6" t="s">
        <v>181</v>
      </c>
      <c r="L12" s="6" t="s">
        <v>221</v>
      </c>
      <c r="M12" s="6">
        <v>1</v>
      </c>
      <c r="N12" s="7" t="str">
        <f>_xlfn.CONCAT("%MX",INDEX('Mapping Sheet'!E:E,Table1[[#This Row],[Modbus Address]]-12287,1),".",INDEX('Mapping Sheet'!F:F,Table1[[#This Row],[Modbus Address]]-12287,1))</f>
        <v>%MX0.9</v>
      </c>
      <c r="O12" s="5" t="s">
        <v>11</v>
      </c>
      <c r="P12" s="5" t="s">
        <v>11</v>
      </c>
      <c r="Q12" s="5" t="s">
        <v>11</v>
      </c>
      <c r="R12" s="7" t="s">
        <v>11</v>
      </c>
      <c r="S12" s="7" t="s">
        <v>12</v>
      </c>
      <c r="T12" t="str">
        <f t="shared" si="2"/>
        <v>axSW[]</v>
      </c>
      <c r="U12" s="6" t="s">
        <v>83</v>
      </c>
      <c r="V12" s="5" t="s">
        <v>12</v>
      </c>
      <c r="W12" s="12" t="b">
        <v>0</v>
      </c>
    </row>
    <row r="13" spans="1:23" ht="14.25" customHeight="1" x14ac:dyDescent="0.3">
      <c r="A13" s="5" t="s">
        <v>8</v>
      </c>
      <c r="B13" s="7" t="s">
        <v>22</v>
      </c>
      <c r="C13" s="7" t="s">
        <v>311</v>
      </c>
      <c r="D13" s="14" t="s">
        <v>206</v>
      </c>
      <c r="E13" s="6" t="s">
        <v>140</v>
      </c>
      <c r="F13" s="7" t="s">
        <v>10</v>
      </c>
      <c r="G13" s="5" t="s">
        <v>124</v>
      </c>
      <c r="H13" s="5" t="str">
        <f t="shared" si="0"/>
        <v>0x300A</v>
      </c>
      <c r="I13" s="7">
        <f t="shared" si="3"/>
        <v>12298</v>
      </c>
      <c r="J13" s="6" t="str">
        <f t="shared" si="1"/>
        <v>012299</v>
      </c>
      <c r="K13" s="6" t="s">
        <v>181</v>
      </c>
      <c r="L13" s="6" t="s">
        <v>221</v>
      </c>
      <c r="M13" s="6">
        <v>1</v>
      </c>
      <c r="N13" s="7" t="str">
        <f>_xlfn.CONCAT("%MX",INDEX('Mapping Sheet'!E:E,Table1[[#This Row],[Modbus Address]]-12287,1),".",INDEX('Mapping Sheet'!F:F,Table1[[#This Row],[Modbus Address]]-12287,1))</f>
        <v>%MX0.10</v>
      </c>
      <c r="O13" s="5" t="s">
        <v>11</v>
      </c>
      <c r="P13" s="5" t="s">
        <v>11</v>
      </c>
      <c r="Q13" s="5" t="s">
        <v>11</v>
      </c>
      <c r="R13" s="7" t="s">
        <v>11</v>
      </c>
      <c r="S13" s="7" t="s">
        <v>12</v>
      </c>
      <c r="T13" t="str">
        <f t="shared" si="2"/>
        <v>axSW[]</v>
      </c>
      <c r="U13" s="6" t="s">
        <v>83</v>
      </c>
      <c r="V13" s="5" t="s">
        <v>12</v>
      </c>
      <c r="W13" s="12" t="b">
        <v>0</v>
      </c>
    </row>
    <row r="14" spans="1:23" ht="14.25" customHeight="1" x14ac:dyDescent="0.3">
      <c r="A14" s="5" t="s">
        <v>8</v>
      </c>
      <c r="B14" s="7" t="s">
        <v>23</v>
      </c>
      <c r="C14" s="7" t="s">
        <v>312</v>
      </c>
      <c r="D14" s="14" t="s">
        <v>199</v>
      </c>
      <c r="E14" s="6" t="s">
        <v>140</v>
      </c>
      <c r="F14" s="7" t="s">
        <v>10</v>
      </c>
      <c r="G14" s="5" t="s">
        <v>124</v>
      </c>
      <c r="H14" s="5" t="str">
        <f t="shared" si="0"/>
        <v>0x300B</v>
      </c>
      <c r="I14" s="7">
        <f t="shared" si="3"/>
        <v>12299</v>
      </c>
      <c r="J14" s="6" t="str">
        <f t="shared" si="1"/>
        <v>012300</v>
      </c>
      <c r="K14" s="6" t="s">
        <v>181</v>
      </c>
      <c r="L14" s="6" t="s">
        <v>221</v>
      </c>
      <c r="M14" s="6">
        <v>1</v>
      </c>
      <c r="N14" s="7" t="str">
        <f>_xlfn.CONCAT("%MX",INDEX('Mapping Sheet'!E:E,Table1[[#This Row],[Modbus Address]]-12287,1),".",INDEX('Mapping Sheet'!F:F,Table1[[#This Row],[Modbus Address]]-12287,1))</f>
        <v>%MX0.11</v>
      </c>
      <c r="O14" s="5" t="s">
        <v>11</v>
      </c>
      <c r="P14" s="5" t="s">
        <v>11</v>
      </c>
      <c r="Q14" s="5" t="s">
        <v>11</v>
      </c>
      <c r="R14" s="7" t="s">
        <v>11</v>
      </c>
      <c r="S14" s="7" t="s">
        <v>12</v>
      </c>
      <c r="T14" t="str">
        <f t="shared" si="2"/>
        <v>axSW[]</v>
      </c>
      <c r="U14" s="6" t="s">
        <v>83</v>
      </c>
      <c r="V14" s="5" t="s">
        <v>12</v>
      </c>
      <c r="W14" s="12" t="b">
        <v>0</v>
      </c>
    </row>
    <row r="15" spans="1:23" ht="14.25" customHeight="1" x14ac:dyDescent="0.3">
      <c r="A15" s="5" t="s">
        <v>8</v>
      </c>
      <c r="B15" s="7" t="s">
        <v>24</v>
      </c>
      <c r="C15" s="7" t="s">
        <v>313</v>
      </c>
      <c r="D15" s="14" t="s">
        <v>199</v>
      </c>
      <c r="E15" s="6" t="s">
        <v>140</v>
      </c>
      <c r="F15" s="7" t="s">
        <v>10</v>
      </c>
      <c r="G15" s="5" t="s">
        <v>124</v>
      </c>
      <c r="H15" s="5" t="str">
        <f t="shared" si="0"/>
        <v>0x300C</v>
      </c>
      <c r="I15" s="7">
        <f t="shared" si="3"/>
        <v>12300</v>
      </c>
      <c r="J15" s="6" t="str">
        <f t="shared" si="1"/>
        <v>012301</v>
      </c>
      <c r="K15" s="6" t="s">
        <v>181</v>
      </c>
      <c r="L15" s="6" t="s">
        <v>221</v>
      </c>
      <c r="M15" s="6">
        <v>1</v>
      </c>
      <c r="N15" s="7" t="str">
        <f>_xlfn.CONCAT("%MX",INDEX('Mapping Sheet'!E:E,Table1[[#This Row],[Modbus Address]]-12287,1),".",INDEX('Mapping Sheet'!F:F,Table1[[#This Row],[Modbus Address]]-12287,1))</f>
        <v>%MX0.12</v>
      </c>
      <c r="O15" s="5" t="s">
        <v>11</v>
      </c>
      <c r="P15" s="5" t="s">
        <v>11</v>
      </c>
      <c r="Q15" s="5" t="s">
        <v>11</v>
      </c>
      <c r="R15" s="7" t="s">
        <v>11</v>
      </c>
      <c r="S15" s="7" t="s">
        <v>12</v>
      </c>
      <c r="T15" t="str">
        <f t="shared" si="2"/>
        <v>axSW[]</v>
      </c>
      <c r="U15" s="6" t="s">
        <v>83</v>
      </c>
      <c r="V15" s="5" t="s">
        <v>12</v>
      </c>
      <c r="W15" s="12" t="b">
        <v>0</v>
      </c>
    </row>
    <row r="16" spans="1:23" ht="14.25" customHeight="1" x14ac:dyDescent="0.3">
      <c r="A16" s="5" t="s">
        <v>8</v>
      </c>
      <c r="B16" s="7" t="s">
        <v>25</v>
      </c>
      <c r="C16" s="7" t="s">
        <v>314</v>
      </c>
      <c r="D16" s="14" t="s">
        <v>197</v>
      </c>
      <c r="E16" s="6" t="s">
        <v>140</v>
      </c>
      <c r="F16" s="7" t="s">
        <v>10</v>
      </c>
      <c r="G16" s="5" t="s">
        <v>124</v>
      </c>
      <c r="H16" s="5" t="str">
        <f t="shared" si="0"/>
        <v>0x300D</v>
      </c>
      <c r="I16" s="7">
        <f t="shared" si="3"/>
        <v>12301</v>
      </c>
      <c r="J16" s="6" t="str">
        <f t="shared" si="1"/>
        <v>012302</v>
      </c>
      <c r="K16" s="6" t="s">
        <v>181</v>
      </c>
      <c r="L16" s="6" t="s">
        <v>221</v>
      </c>
      <c r="M16" s="6">
        <v>1</v>
      </c>
      <c r="N16" s="7" t="str">
        <f>_xlfn.CONCAT("%MX",INDEX('Mapping Sheet'!E:E,Table1[[#This Row],[Modbus Address]]-12287,1),".",INDEX('Mapping Sheet'!F:F,Table1[[#This Row],[Modbus Address]]-12287,1))</f>
        <v>%MX0.13</v>
      </c>
      <c r="O16" s="5" t="s">
        <v>11</v>
      </c>
      <c r="P16" s="5" t="s">
        <v>11</v>
      </c>
      <c r="Q16" s="5" t="s">
        <v>11</v>
      </c>
      <c r="R16" s="7" t="s">
        <v>11</v>
      </c>
      <c r="S16" s="7" t="s">
        <v>12</v>
      </c>
      <c r="T16" t="str">
        <f t="shared" si="2"/>
        <v>axSW[]</v>
      </c>
      <c r="U16" s="6" t="s">
        <v>83</v>
      </c>
      <c r="V16" s="5" t="s">
        <v>12</v>
      </c>
      <c r="W16" s="12" t="b">
        <v>0</v>
      </c>
    </row>
    <row r="17" spans="1:23" ht="14.25" customHeight="1" x14ac:dyDescent="0.3">
      <c r="A17" s="5" t="s">
        <v>8</v>
      </c>
      <c r="B17" s="7" t="s">
        <v>125</v>
      </c>
      <c r="C17" s="5" t="s">
        <v>193</v>
      </c>
      <c r="D17" s="5"/>
      <c r="E17" s="6" t="s">
        <v>141</v>
      </c>
      <c r="F17" s="5" t="s">
        <v>10</v>
      </c>
      <c r="G17" s="5" t="s">
        <v>124</v>
      </c>
      <c r="H17" s="5" t="str">
        <f t="shared" si="0"/>
        <v>0x300E</v>
      </c>
      <c r="I17" s="7">
        <f t="shared" si="3"/>
        <v>12302</v>
      </c>
      <c r="J17" s="6" t="str">
        <f t="shared" si="1"/>
        <v>012303</v>
      </c>
      <c r="K17" s="6" t="s">
        <v>11</v>
      </c>
      <c r="L17" s="6"/>
      <c r="M17" s="6">
        <v>1</v>
      </c>
      <c r="N17" s="7" t="str">
        <f>_xlfn.CONCAT("%MX",INDEX('Mapping Sheet'!E:E,Table1[[#This Row],[Modbus Address]]-12287,1),".",INDEX('Mapping Sheet'!F:F,Table1[[#This Row],[Modbus Address]]-12287,1))</f>
        <v>%MX0.14</v>
      </c>
      <c r="O17" s="5" t="s">
        <v>11</v>
      </c>
      <c r="P17" s="5" t="s">
        <v>11</v>
      </c>
      <c r="Q17" s="5" t="s">
        <v>11</v>
      </c>
      <c r="R17" s="5" t="s">
        <v>11</v>
      </c>
      <c r="S17" s="5" t="s">
        <v>12</v>
      </c>
      <c r="T17" t="str">
        <f t="shared" si="2"/>
        <v>axSW[]</v>
      </c>
      <c r="U17" s="6" t="s">
        <v>83</v>
      </c>
      <c r="V17" s="5" t="s">
        <v>12</v>
      </c>
      <c r="W17" s="12" t="b">
        <v>0</v>
      </c>
    </row>
    <row r="18" spans="1:23" ht="14.25" customHeight="1" x14ac:dyDescent="0.3">
      <c r="A18" s="5" t="s">
        <v>8</v>
      </c>
      <c r="B18" s="7" t="s">
        <v>126</v>
      </c>
      <c r="C18" s="5" t="s">
        <v>193</v>
      </c>
      <c r="D18" s="5"/>
      <c r="E18" s="6" t="s">
        <v>141</v>
      </c>
      <c r="F18" s="5" t="s">
        <v>10</v>
      </c>
      <c r="G18" s="5" t="s">
        <v>124</v>
      </c>
      <c r="H18" s="5" t="str">
        <f t="shared" si="0"/>
        <v>0x300F</v>
      </c>
      <c r="I18" s="7">
        <f t="shared" si="3"/>
        <v>12303</v>
      </c>
      <c r="J18" s="6" t="str">
        <f t="shared" si="1"/>
        <v>012304</v>
      </c>
      <c r="K18" s="6" t="s">
        <v>11</v>
      </c>
      <c r="L18" s="6"/>
      <c r="M18" s="6">
        <v>1</v>
      </c>
      <c r="N18" s="7" t="str">
        <f>_xlfn.CONCAT("%MX",INDEX('Mapping Sheet'!E:E,Table1[[#This Row],[Modbus Address]]-12287,1),".",INDEX('Mapping Sheet'!F:F,Table1[[#This Row],[Modbus Address]]-12287,1))</f>
        <v>%MX0.15</v>
      </c>
      <c r="O18" s="5" t="s">
        <v>11</v>
      </c>
      <c r="P18" s="5" t="s">
        <v>11</v>
      </c>
      <c r="Q18" s="5" t="s">
        <v>11</v>
      </c>
      <c r="R18" s="5" t="s">
        <v>11</v>
      </c>
      <c r="S18" s="5" t="s">
        <v>12</v>
      </c>
      <c r="T18" t="str">
        <f t="shared" si="2"/>
        <v>axSW[]</v>
      </c>
      <c r="U18" s="6" t="s">
        <v>83</v>
      </c>
      <c r="V18" s="5" t="s">
        <v>12</v>
      </c>
      <c r="W18" s="12" t="b">
        <v>0</v>
      </c>
    </row>
    <row r="19" spans="1:23" ht="14.25" customHeight="1" x14ac:dyDescent="0.3">
      <c r="A19" s="5" t="s">
        <v>26</v>
      </c>
      <c r="B19" s="7" t="s">
        <v>27</v>
      </c>
      <c r="C19" s="7" t="s">
        <v>315</v>
      </c>
      <c r="D19" s="14" t="s">
        <v>197</v>
      </c>
      <c r="E19" s="6" t="s">
        <v>140</v>
      </c>
      <c r="F19" s="7" t="s">
        <v>10</v>
      </c>
      <c r="G19" s="5" t="s">
        <v>124</v>
      </c>
      <c r="H19" s="5" t="str">
        <f t="shared" si="0"/>
        <v>0x3010</v>
      </c>
      <c r="I19" s="7">
        <f t="shared" si="3"/>
        <v>12304</v>
      </c>
      <c r="J19" s="6" t="str">
        <f t="shared" si="1"/>
        <v>012305</v>
      </c>
      <c r="K19" s="6" t="s">
        <v>184</v>
      </c>
      <c r="L19" s="6" t="s">
        <v>221</v>
      </c>
      <c r="M19" s="6">
        <v>1</v>
      </c>
      <c r="N19" s="7" t="str">
        <f>_xlfn.CONCAT("%MX",INDEX('Mapping Sheet'!E:E,Table1[[#This Row],[Modbus Address]]-12287,1),".",INDEX('Mapping Sheet'!F:F,Table1[[#This Row],[Modbus Address]]-12287,1))</f>
        <v>%MX1.0</v>
      </c>
      <c r="O19" s="5" t="s">
        <v>11</v>
      </c>
      <c r="P19" s="5" t="s">
        <v>11</v>
      </c>
      <c r="Q19" s="5" t="s">
        <v>11</v>
      </c>
      <c r="R19" s="7" t="s">
        <v>11</v>
      </c>
      <c r="S19" s="7" t="s">
        <v>12</v>
      </c>
      <c r="T19" t="str">
        <f>_xlfn.CONCAT("axSIG[",AB1,"]")</f>
        <v>axSIG[]</v>
      </c>
      <c r="U19" s="6" t="s">
        <v>83</v>
      </c>
      <c r="V19" s="5" t="s">
        <v>11</v>
      </c>
      <c r="W19" s="12" t="b">
        <v>0</v>
      </c>
    </row>
    <row r="20" spans="1:23" ht="14.25" customHeight="1" x14ac:dyDescent="0.3">
      <c r="A20" s="5" t="s">
        <v>26</v>
      </c>
      <c r="B20" s="7" t="s">
        <v>28</v>
      </c>
      <c r="C20" s="7" t="s">
        <v>316</v>
      </c>
      <c r="D20" s="14" t="s">
        <v>197</v>
      </c>
      <c r="E20" s="6" t="s">
        <v>140</v>
      </c>
      <c r="F20" s="7" t="s">
        <v>10</v>
      </c>
      <c r="G20" s="5" t="s">
        <v>124</v>
      </c>
      <c r="H20" s="5" t="str">
        <f t="shared" si="0"/>
        <v>0x3011</v>
      </c>
      <c r="I20" s="7">
        <f t="shared" si="3"/>
        <v>12305</v>
      </c>
      <c r="J20" s="6" t="str">
        <f t="shared" si="1"/>
        <v>012306</v>
      </c>
      <c r="K20" s="6" t="s">
        <v>184</v>
      </c>
      <c r="L20" s="6" t="s">
        <v>221</v>
      </c>
      <c r="M20" s="6">
        <v>1</v>
      </c>
      <c r="N20" s="7" t="str">
        <f>_xlfn.CONCAT("%MX",INDEX('Mapping Sheet'!E:E,Table1[[#This Row],[Modbus Address]]-12287,1),".",INDEX('Mapping Sheet'!F:F,Table1[[#This Row],[Modbus Address]]-12287,1))</f>
        <v>%MX1.1</v>
      </c>
      <c r="O20" s="5" t="s">
        <v>11</v>
      </c>
      <c r="P20" s="5" t="s">
        <v>11</v>
      </c>
      <c r="Q20" s="5" t="s">
        <v>11</v>
      </c>
      <c r="R20" s="7" t="s">
        <v>11</v>
      </c>
      <c r="S20" s="7" t="s">
        <v>12</v>
      </c>
      <c r="T20" t="str">
        <f>_xlfn.CONCAT("axSIG[",AB2,"]")</f>
        <v>axSIG[]</v>
      </c>
      <c r="U20" s="6" t="s">
        <v>83</v>
      </c>
      <c r="V20" s="5" t="s">
        <v>11</v>
      </c>
      <c r="W20" s="12" t="b">
        <v>0</v>
      </c>
    </row>
    <row r="21" spans="1:23" ht="14.25" customHeight="1" x14ac:dyDescent="0.3">
      <c r="A21" s="5" t="s">
        <v>26</v>
      </c>
      <c r="B21" s="7" t="s">
        <v>29</v>
      </c>
      <c r="C21" s="7" t="s">
        <v>317</v>
      </c>
      <c r="D21" s="14" t="s">
        <v>197</v>
      </c>
      <c r="E21" s="6" t="s">
        <v>140</v>
      </c>
      <c r="F21" s="7" t="s">
        <v>10</v>
      </c>
      <c r="G21" s="5" t="s">
        <v>124</v>
      </c>
      <c r="H21" s="5" t="str">
        <f t="shared" si="0"/>
        <v>0x3012</v>
      </c>
      <c r="I21" s="7">
        <f t="shared" si="3"/>
        <v>12306</v>
      </c>
      <c r="J21" s="6" t="str">
        <f t="shared" si="1"/>
        <v>012307</v>
      </c>
      <c r="K21" s="6" t="s">
        <v>184</v>
      </c>
      <c r="L21" s="6" t="s">
        <v>221</v>
      </c>
      <c r="M21" s="6">
        <v>1</v>
      </c>
      <c r="N21" s="7" t="str">
        <f>_xlfn.CONCAT("%MX",INDEX('Mapping Sheet'!E:E,Table1[[#This Row],[Modbus Address]]-12287,1),".",INDEX('Mapping Sheet'!F:F,Table1[[#This Row],[Modbus Address]]-12287,1))</f>
        <v>%MX1.2</v>
      </c>
      <c r="O21" s="5" t="s">
        <v>11</v>
      </c>
      <c r="P21" s="5" t="s">
        <v>11</v>
      </c>
      <c r="Q21" s="5" t="s">
        <v>11</v>
      </c>
      <c r="R21" s="7" t="s">
        <v>11</v>
      </c>
      <c r="S21" s="7" t="s">
        <v>12</v>
      </c>
      <c r="T21" t="str">
        <f>_xlfn.CONCAT("axSIG[",AB3,"]")</f>
        <v>axSIG[]</v>
      </c>
      <c r="U21" s="6" t="s">
        <v>83</v>
      </c>
      <c r="V21" s="5" t="s">
        <v>11</v>
      </c>
      <c r="W21" s="12" t="b">
        <v>0</v>
      </c>
    </row>
    <row r="22" spans="1:23" ht="14.25" customHeight="1" x14ac:dyDescent="0.3">
      <c r="A22" s="5" t="s">
        <v>26</v>
      </c>
      <c r="B22" s="7" t="s">
        <v>30</v>
      </c>
      <c r="C22" s="7" t="s">
        <v>318</v>
      </c>
      <c r="D22" s="14" t="s">
        <v>197</v>
      </c>
      <c r="E22" s="6" t="s">
        <v>140</v>
      </c>
      <c r="F22" s="7" t="s">
        <v>10</v>
      </c>
      <c r="G22" s="5" t="s">
        <v>124</v>
      </c>
      <c r="H22" s="5" t="str">
        <f t="shared" si="0"/>
        <v>0x3013</v>
      </c>
      <c r="I22" s="7">
        <f t="shared" si="3"/>
        <v>12307</v>
      </c>
      <c r="J22" s="6" t="str">
        <f t="shared" si="1"/>
        <v>012308</v>
      </c>
      <c r="K22" s="6" t="s">
        <v>184</v>
      </c>
      <c r="L22" s="6" t="s">
        <v>221</v>
      </c>
      <c r="M22" s="6">
        <v>1</v>
      </c>
      <c r="N22" s="7" t="str">
        <f>_xlfn.CONCAT("%MX",INDEX('Mapping Sheet'!E:E,Table1[[#This Row],[Modbus Address]]-12287,1),".",INDEX('Mapping Sheet'!F:F,Table1[[#This Row],[Modbus Address]]-12287,1))</f>
        <v>%MX1.3</v>
      </c>
      <c r="O22" s="5" t="s">
        <v>11</v>
      </c>
      <c r="P22" s="5" t="s">
        <v>11</v>
      </c>
      <c r="Q22" s="5" t="s">
        <v>11</v>
      </c>
      <c r="R22" s="7" t="s">
        <v>11</v>
      </c>
      <c r="S22" s="7" t="s">
        <v>12</v>
      </c>
      <c r="T22" t="str">
        <f>_xlfn.CONCAT("axSIG[",AB4,"]")</f>
        <v>axSIG[]</v>
      </c>
      <c r="U22" s="6" t="s">
        <v>83</v>
      </c>
      <c r="V22" s="5" t="s">
        <v>11</v>
      </c>
      <c r="W22" s="12" t="b">
        <v>0</v>
      </c>
    </row>
    <row r="23" spans="1:23" ht="14.25" customHeight="1" x14ac:dyDescent="0.3">
      <c r="A23" s="5" t="s">
        <v>26</v>
      </c>
      <c r="B23" s="7" t="s">
        <v>31</v>
      </c>
      <c r="C23" s="7" t="s">
        <v>319</v>
      </c>
      <c r="D23" s="14" t="s">
        <v>199</v>
      </c>
      <c r="E23" s="6" t="s">
        <v>140</v>
      </c>
      <c r="F23" s="5" t="s">
        <v>33</v>
      </c>
      <c r="G23" s="5" t="s">
        <v>124</v>
      </c>
      <c r="H23" s="5" t="str">
        <f t="shared" si="0"/>
        <v>0x310C</v>
      </c>
      <c r="I23" s="7">
        <f>I50+100</f>
        <v>12556</v>
      </c>
      <c r="J23" s="6" t="str">
        <f t="shared" ref="J23:J32" si="4">_xlfn.CONCAT(4,I23+1)</f>
        <v>412557</v>
      </c>
      <c r="K23" s="6" t="s">
        <v>185</v>
      </c>
      <c r="L23" s="6" t="s">
        <v>219</v>
      </c>
      <c r="M23" s="6">
        <v>32</v>
      </c>
      <c r="N23" s="5" t="str">
        <f>_xlfn.CONCAT("%MD",INDEX('Mapping Sheet'!G:G,Table1[[#This Row],[Modbus Address]]-12287,1))</f>
        <v>%MD134</v>
      </c>
      <c r="O23" s="5" t="s">
        <v>11</v>
      </c>
      <c r="P23" s="5" t="s">
        <v>11</v>
      </c>
      <c r="Q23" s="5" t="s">
        <v>11</v>
      </c>
      <c r="R23" s="7" t="s">
        <v>11</v>
      </c>
      <c r="S23" s="7" t="s">
        <v>12</v>
      </c>
      <c r="T23" t="str">
        <f t="shared" ref="T23:T32" si="5">_xlfn.CONCAT("arSW[",AB1,"]")</f>
        <v>arSW[]</v>
      </c>
      <c r="U23" s="6" t="s">
        <v>83</v>
      </c>
      <c r="V23" s="5" t="s">
        <v>11</v>
      </c>
      <c r="W23" s="12" t="b">
        <v>0</v>
      </c>
    </row>
    <row r="24" spans="1:23" ht="14.25" customHeight="1" x14ac:dyDescent="0.3">
      <c r="A24" s="5" t="s">
        <v>26</v>
      </c>
      <c r="B24" s="7" t="s">
        <v>32</v>
      </c>
      <c r="C24" s="7" t="s">
        <v>320</v>
      </c>
      <c r="D24" s="14" t="s">
        <v>203</v>
      </c>
      <c r="E24" s="6" t="s">
        <v>140</v>
      </c>
      <c r="F24" s="7" t="s">
        <v>33</v>
      </c>
      <c r="G24" s="5" t="s">
        <v>124</v>
      </c>
      <c r="H24" s="5" t="str">
        <f t="shared" si="0"/>
        <v>0x310E</v>
      </c>
      <c r="I24" s="7">
        <f t="shared" ref="I24:I32" si="6">I23+2</f>
        <v>12558</v>
      </c>
      <c r="J24" s="6" t="str">
        <f t="shared" si="4"/>
        <v>412559</v>
      </c>
      <c r="K24" s="6" t="s">
        <v>185</v>
      </c>
      <c r="L24" s="6" t="s">
        <v>219</v>
      </c>
      <c r="M24" s="6">
        <v>32</v>
      </c>
      <c r="N24" s="5" t="str">
        <f>_xlfn.CONCAT("%MD",INDEX('Mapping Sheet'!G:G,Table1[[#This Row],[Modbus Address]]-12287,1))</f>
        <v>%MD135</v>
      </c>
      <c r="O24" s="5" t="s">
        <v>11</v>
      </c>
      <c r="P24" s="5" t="s">
        <v>11</v>
      </c>
      <c r="Q24" s="5" t="s">
        <v>11</v>
      </c>
      <c r="R24" s="7" t="s">
        <v>11</v>
      </c>
      <c r="S24" s="7" t="s">
        <v>12</v>
      </c>
      <c r="T24" t="str">
        <f t="shared" si="5"/>
        <v>arSW[]</v>
      </c>
      <c r="U24" s="6" t="s">
        <v>83</v>
      </c>
      <c r="V24" s="5" t="s">
        <v>11</v>
      </c>
      <c r="W24" s="12" t="b">
        <v>0</v>
      </c>
    </row>
    <row r="25" spans="1:23" ht="14.25" customHeight="1" x14ac:dyDescent="0.3">
      <c r="A25" s="5" t="s">
        <v>26</v>
      </c>
      <c r="B25" s="7" t="s">
        <v>34</v>
      </c>
      <c r="C25" s="7" t="s">
        <v>321</v>
      </c>
      <c r="D25" s="14" t="s">
        <v>201</v>
      </c>
      <c r="E25" s="6" t="s">
        <v>140</v>
      </c>
      <c r="F25" s="7" t="s">
        <v>33</v>
      </c>
      <c r="G25" s="5" t="s">
        <v>124</v>
      </c>
      <c r="H25" s="5" t="str">
        <f t="shared" si="0"/>
        <v>0x3110</v>
      </c>
      <c r="I25" s="7">
        <f t="shared" si="6"/>
        <v>12560</v>
      </c>
      <c r="J25" s="6" t="str">
        <f t="shared" si="4"/>
        <v>412561</v>
      </c>
      <c r="K25" s="6" t="s">
        <v>185</v>
      </c>
      <c r="L25" s="6" t="s">
        <v>219</v>
      </c>
      <c r="M25" s="6">
        <v>32</v>
      </c>
      <c r="N25" s="5" t="str">
        <f>_xlfn.CONCAT("%MD",INDEX('Mapping Sheet'!G:G,Table1[[#This Row],[Modbus Address]]-12287,1))</f>
        <v>%MD136</v>
      </c>
      <c r="O25" s="5" t="s">
        <v>11</v>
      </c>
      <c r="P25" s="5" t="s">
        <v>11</v>
      </c>
      <c r="Q25" s="5" t="s">
        <v>11</v>
      </c>
      <c r="R25" s="7" t="s">
        <v>11</v>
      </c>
      <c r="S25" s="7" t="s">
        <v>12</v>
      </c>
      <c r="T25" t="str">
        <f t="shared" si="5"/>
        <v>arSW[]</v>
      </c>
      <c r="U25" s="6" t="s">
        <v>83</v>
      </c>
      <c r="V25" s="5" t="s">
        <v>11</v>
      </c>
      <c r="W25" s="12" t="b">
        <v>0</v>
      </c>
    </row>
    <row r="26" spans="1:23" ht="14.25" customHeight="1" x14ac:dyDescent="0.3">
      <c r="A26" s="5" t="s">
        <v>26</v>
      </c>
      <c r="B26" s="7" t="s">
        <v>35</v>
      </c>
      <c r="C26" s="7" t="s">
        <v>322</v>
      </c>
      <c r="D26" s="14" t="s">
        <v>202</v>
      </c>
      <c r="E26" s="6" t="s">
        <v>140</v>
      </c>
      <c r="F26" s="7" t="s">
        <v>33</v>
      </c>
      <c r="G26" s="5" t="s">
        <v>124</v>
      </c>
      <c r="H26" s="5" t="str">
        <f t="shared" si="0"/>
        <v>0x3112</v>
      </c>
      <c r="I26" s="7">
        <f t="shared" si="6"/>
        <v>12562</v>
      </c>
      <c r="J26" s="6" t="str">
        <f t="shared" si="4"/>
        <v>412563</v>
      </c>
      <c r="K26" s="6" t="s">
        <v>185</v>
      </c>
      <c r="L26" s="6" t="s">
        <v>219</v>
      </c>
      <c r="M26" s="6">
        <v>32</v>
      </c>
      <c r="N26" s="5" t="str">
        <f>_xlfn.CONCAT("%MD",INDEX('Mapping Sheet'!G:G,Table1[[#This Row],[Modbus Address]]-12287,1))</f>
        <v>%MD137</v>
      </c>
      <c r="O26" s="5" t="s">
        <v>11</v>
      </c>
      <c r="P26" s="5" t="s">
        <v>11</v>
      </c>
      <c r="Q26" s="5" t="s">
        <v>11</v>
      </c>
      <c r="R26" s="7" t="s">
        <v>11</v>
      </c>
      <c r="S26" s="7" t="s">
        <v>12</v>
      </c>
      <c r="T26" t="str">
        <f t="shared" si="5"/>
        <v>arSW[]</v>
      </c>
      <c r="U26" s="6" t="s">
        <v>83</v>
      </c>
      <c r="V26" s="5" t="s">
        <v>11</v>
      </c>
      <c r="W26" s="12" t="b">
        <v>0</v>
      </c>
    </row>
    <row r="27" spans="1:23" ht="14.25" customHeight="1" x14ac:dyDescent="0.3">
      <c r="A27" s="5" t="s">
        <v>26</v>
      </c>
      <c r="B27" s="7" t="s">
        <v>36</v>
      </c>
      <c r="C27" s="7" t="s">
        <v>323</v>
      </c>
      <c r="D27" s="14" t="s">
        <v>198</v>
      </c>
      <c r="E27" s="6" t="s">
        <v>140</v>
      </c>
      <c r="F27" s="7" t="s">
        <v>33</v>
      </c>
      <c r="G27" s="5" t="s">
        <v>124</v>
      </c>
      <c r="H27" s="5" t="str">
        <f t="shared" si="0"/>
        <v>0x3114</v>
      </c>
      <c r="I27" s="7">
        <f t="shared" si="6"/>
        <v>12564</v>
      </c>
      <c r="J27" s="6" t="str">
        <f t="shared" si="4"/>
        <v>412565</v>
      </c>
      <c r="K27" s="6" t="s">
        <v>185</v>
      </c>
      <c r="L27" s="6" t="s">
        <v>219</v>
      </c>
      <c r="M27" s="6">
        <v>32</v>
      </c>
      <c r="N27" s="5" t="str">
        <f>_xlfn.CONCAT("%MD",INDEX('Mapping Sheet'!G:G,Table1[[#This Row],[Modbus Address]]-12287,1))</f>
        <v>%MD138</v>
      </c>
      <c r="O27" s="5" t="s">
        <v>11</v>
      </c>
      <c r="P27" s="5" t="s">
        <v>11</v>
      </c>
      <c r="Q27" s="5" t="s">
        <v>11</v>
      </c>
      <c r="R27" s="7" t="s">
        <v>11</v>
      </c>
      <c r="S27" s="7" t="s">
        <v>12</v>
      </c>
      <c r="T27" t="str">
        <f t="shared" si="5"/>
        <v>arSW[]</v>
      </c>
      <c r="U27" s="6" t="s">
        <v>83</v>
      </c>
      <c r="V27" s="5" t="s">
        <v>11</v>
      </c>
      <c r="W27" s="12" t="b">
        <v>0</v>
      </c>
    </row>
    <row r="28" spans="1:23" ht="14.25" customHeight="1" x14ac:dyDescent="0.3">
      <c r="A28" s="5" t="s">
        <v>26</v>
      </c>
      <c r="B28" s="7" t="s">
        <v>37</v>
      </c>
      <c r="C28" s="7" t="s">
        <v>324</v>
      </c>
      <c r="D28" s="14" t="s">
        <v>203</v>
      </c>
      <c r="E28" s="6" t="s">
        <v>140</v>
      </c>
      <c r="F28" s="7" t="s">
        <v>33</v>
      </c>
      <c r="G28" s="5" t="s">
        <v>124</v>
      </c>
      <c r="H28" s="5" t="str">
        <f t="shared" si="0"/>
        <v>0x3116</v>
      </c>
      <c r="I28" s="7">
        <f t="shared" si="6"/>
        <v>12566</v>
      </c>
      <c r="J28" s="6" t="str">
        <f t="shared" si="4"/>
        <v>412567</v>
      </c>
      <c r="K28" s="6" t="s">
        <v>185</v>
      </c>
      <c r="L28" s="6" t="s">
        <v>219</v>
      </c>
      <c r="M28" s="6">
        <v>32</v>
      </c>
      <c r="N28" s="5" t="str">
        <f>_xlfn.CONCAT("%MD",INDEX('Mapping Sheet'!G:G,Table1[[#This Row],[Modbus Address]]-12287,1))</f>
        <v>%MD139</v>
      </c>
      <c r="O28" s="5" t="s">
        <v>11</v>
      </c>
      <c r="P28" s="5" t="s">
        <v>11</v>
      </c>
      <c r="Q28" s="5" t="s">
        <v>11</v>
      </c>
      <c r="R28" s="7" t="s">
        <v>11</v>
      </c>
      <c r="S28" s="7" t="s">
        <v>12</v>
      </c>
      <c r="T28" t="str">
        <f t="shared" si="5"/>
        <v>arSW[]</v>
      </c>
      <c r="U28" s="5" t="s">
        <v>12</v>
      </c>
      <c r="V28" s="5" t="s">
        <v>11</v>
      </c>
      <c r="W28" s="12" t="b">
        <v>0</v>
      </c>
    </row>
    <row r="29" spans="1:23" ht="14.25" customHeight="1" x14ac:dyDescent="0.3">
      <c r="A29" s="5" t="s">
        <v>26</v>
      </c>
      <c r="B29" s="7" t="s">
        <v>38</v>
      </c>
      <c r="C29" s="7" t="s">
        <v>325</v>
      </c>
      <c r="D29" s="14" t="s">
        <v>203</v>
      </c>
      <c r="E29" s="6" t="s">
        <v>140</v>
      </c>
      <c r="F29" s="7" t="s">
        <v>33</v>
      </c>
      <c r="G29" s="5" t="s">
        <v>124</v>
      </c>
      <c r="H29" s="5" t="str">
        <f t="shared" si="0"/>
        <v>0x3118</v>
      </c>
      <c r="I29" s="7">
        <f t="shared" si="6"/>
        <v>12568</v>
      </c>
      <c r="J29" s="6" t="str">
        <f t="shared" si="4"/>
        <v>412569</v>
      </c>
      <c r="K29" s="6" t="s">
        <v>185</v>
      </c>
      <c r="L29" s="6" t="s">
        <v>219</v>
      </c>
      <c r="M29" s="6">
        <v>32</v>
      </c>
      <c r="N29" s="5" t="str">
        <f>_xlfn.CONCAT("%MD",INDEX('Mapping Sheet'!G:G,Table1[[#This Row],[Modbus Address]]-12287,1))</f>
        <v>%MD140</v>
      </c>
      <c r="O29" s="5" t="s">
        <v>11</v>
      </c>
      <c r="P29" s="5" t="s">
        <v>11</v>
      </c>
      <c r="Q29" s="5" t="s">
        <v>11</v>
      </c>
      <c r="R29" s="7" t="s">
        <v>11</v>
      </c>
      <c r="S29" s="7" t="s">
        <v>12</v>
      </c>
      <c r="T29" t="str">
        <f t="shared" si="5"/>
        <v>arSW[]</v>
      </c>
      <c r="U29" s="5" t="s">
        <v>12</v>
      </c>
      <c r="V29" s="5" t="s">
        <v>11</v>
      </c>
      <c r="W29" s="12" t="b">
        <v>0</v>
      </c>
    </row>
    <row r="30" spans="1:23" ht="14.25" customHeight="1" x14ac:dyDescent="0.3">
      <c r="A30" s="5" t="s">
        <v>26</v>
      </c>
      <c r="B30" s="7" t="s">
        <v>39</v>
      </c>
      <c r="C30" s="7" t="s">
        <v>326</v>
      </c>
      <c r="D30" s="14" t="s">
        <v>203</v>
      </c>
      <c r="E30" s="6" t="s">
        <v>140</v>
      </c>
      <c r="F30" s="7" t="s">
        <v>33</v>
      </c>
      <c r="G30" s="5" t="s">
        <v>124</v>
      </c>
      <c r="H30" s="5" t="str">
        <f t="shared" si="0"/>
        <v>0x311A</v>
      </c>
      <c r="I30" s="7">
        <f t="shared" si="6"/>
        <v>12570</v>
      </c>
      <c r="J30" s="6" t="str">
        <f t="shared" si="4"/>
        <v>412571</v>
      </c>
      <c r="K30" s="6" t="s">
        <v>185</v>
      </c>
      <c r="L30" s="6" t="s">
        <v>219</v>
      </c>
      <c r="M30" s="6">
        <v>32</v>
      </c>
      <c r="N30" s="5" t="str">
        <f>_xlfn.CONCAT("%MD",INDEX('Mapping Sheet'!G:G,Table1[[#This Row],[Modbus Address]]-12287,1))</f>
        <v>%MD141</v>
      </c>
      <c r="O30" s="5" t="s">
        <v>11</v>
      </c>
      <c r="P30" s="5" t="s">
        <v>11</v>
      </c>
      <c r="Q30" s="5" t="s">
        <v>11</v>
      </c>
      <c r="R30" s="7" t="s">
        <v>11</v>
      </c>
      <c r="S30" s="7" t="s">
        <v>12</v>
      </c>
      <c r="T30" t="str">
        <f t="shared" si="5"/>
        <v>arSW[]</v>
      </c>
      <c r="U30" s="5" t="s">
        <v>12</v>
      </c>
      <c r="V30" s="5" t="s">
        <v>11</v>
      </c>
      <c r="W30" s="12" t="b">
        <v>0</v>
      </c>
    </row>
    <row r="31" spans="1:23" ht="14.25" customHeight="1" x14ac:dyDescent="0.3">
      <c r="A31" s="5" t="s">
        <v>26</v>
      </c>
      <c r="B31" s="7" t="s">
        <v>40</v>
      </c>
      <c r="C31" s="9" t="s">
        <v>193</v>
      </c>
      <c r="D31" s="9"/>
      <c r="E31" s="6" t="s">
        <v>141</v>
      </c>
      <c r="F31" s="7" t="s">
        <v>33</v>
      </c>
      <c r="G31" s="5" t="s">
        <v>124</v>
      </c>
      <c r="H31" s="5" t="str">
        <f t="shared" si="0"/>
        <v>0x311C</v>
      </c>
      <c r="I31" s="7">
        <f t="shared" si="6"/>
        <v>12572</v>
      </c>
      <c r="J31" s="6" t="str">
        <f t="shared" si="4"/>
        <v>412573</v>
      </c>
      <c r="K31" s="6" t="s">
        <v>185</v>
      </c>
      <c r="L31" s="6" t="s">
        <v>219</v>
      </c>
      <c r="M31" s="6">
        <v>32</v>
      </c>
      <c r="N31" s="5" t="str">
        <f>_xlfn.CONCAT("%MD",INDEX('Mapping Sheet'!G:G,Table1[[#This Row],[Modbus Address]]-12287,1))</f>
        <v>%MD142</v>
      </c>
      <c r="O31" s="5" t="s">
        <v>11</v>
      </c>
      <c r="P31" s="5" t="s">
        <v>11</v>
      </c>
      <c r="Q31" s="5" t="s">
        <v>11</v>
      </c>
      <c r="R31" s="7" t="s">
        <v>11</v>
      </c>
      <c r="S31" s="7" t="s">
        <v>12</v>
      </c>
      <c r="T31" t="str">
        <f t="shared" si="5"/>
        <v>arSW[]</v>
      </c>
      <c r="U31" s="5" t="s">
        <v>83</v>
      </c>
      <c r="V31" s="5" t="s">
        <v>11</v>
      </c>
      <c r="W31" s="12" t="b">
        <v>0</v>
      </c>
    </row>
    <row r="32" spans="1:23" ht="14.25" customHeight="1" x14ac:dyDescent="0.3">
      <c r="A32" s="5" t="s">
        <v>26</v>
      </c>
      <c r="B32" s="7" t="s">
        <v>41</v>
      </c>
      <c r="C32" t="s">
        <v>327</v>
      </c>
      <c r="D32" t="s">
        <v>198</v>
      </c>
      <c r="E32" s="6" t="s">
        <v>140</v>
      </c>
      <c r="F32" s="5" t="s">
        <v>33</v>
      </c>
      <c r="G32" s="5" t="s">
        <v>124</v>
      </c>
      <c r="H32" s="5" t="str">
        <f t="shared" si="0"/>
        <v>0x311E</v>
      </c>
      <c r="I32" s="7">
        <f t="shared" si="6"/>
        <v>12574</v>
      </c>
      <c r="J32" s="6" t="str">
        <f t="shared" si="4"/>
        <v>412575</v>
      </c>
      <c r="K32" s="6" t="s">
        <v>185</v>
      </c>
      <c r="L32" s="6" t="s">
        <v>219</v>
      </c>
      <c r="M32" s="6">
        <v>32</v>
      </c>
      <c r="N32" s="5" t="str">
        <f>_xlfn.CONCAT("%MD",INDEX('Mapping Sheet'!G:G,Table1[[#This Row],[Modbus Address]]-12287,1))</f>
        <v>%MD143</v>
      </c>
      <c r="O32" s="5" t="s">
        <v>11</v>
      </c>
      <c r="P32" s="5" t="s">
        <v>11</v>
      </c>
      <c r="Q32" s="5" t="s">
        <v>11</v>
      </c>
      <c r="R32" s="7" t="s">
        <v>11</v>
      </c>
      <c r="S32" s="7" t="s">
        <v>12</v>
      </c>
      <c r="T32" t="str">
        <f t="shared" si="5"/>
        <v>arSW[]</v>
      </c>
      <c r="U32" s="5" t="s">
        <v>83</v>
      </c>
      <c r="V32" s="5" t="s">
        <v>11</v>
      </c>
      <c r="W32" s="12" t="b">
        <v>0</v>
      </c>
    </row>
    <row r="33" spans="1:23" ht="14.25" customHeight="1" x14ac:dyDescent="0.3">
      <c r="A33" s="5" t="s">
        <v>26</v>
      </c>
      <c r="B33" s="7" t="s">
        <v>42</v>
      </c>
      <c r="C33" s="7" t="s">
        <v>328</v>
      </c>
      <c r="D33" s="14" t="s">
        <v>205</v>
      </c>
      <c r="E33" s="6" t="s">
        <v>160</v>
      </c>
      <c r="F33" s="7" t="s">
        <v>10</v>
      </c>
      <c r="G33" s="5" t="s">
        <v>124</v>
      </c>
      <c r="H33" s="5" t="str">
        <f t="shared" si="0"/>
        <v>0x3014</v>
      </c>
      <c r="I33" s="7">
        <f>I22+1</f>
        <v>12308</v>
      </c>
      <c r="J33" s="6" t="str">
        <f t="shared" ref="J33:J44" si="7">_xlfn.CONCAT(0,I33+1)</f>
        <v>012309</v>
      </c>
      <c r="K33" s="6" t="s">
        <v>11</v>
      </c>
      <c r="L33" s="6" t="s">
        <v>219</v>
      </c>
      <c r="M33" s="6">
        <v>1</v>
      </c>
      <c r="N33" s="7" t="str">
        <f>_xlfn.CONCAT("%MX",INDEX('Mapping Sheet'!E:E,Table1[[#This Row],[Modbus Address]]-12287,1),".",INDEX('Mapping Sheet'!F:F,Table1[[#This Row],[Modbus Address]]-12287,1))</f>
        <v>%MX1.4</v>
      </c>
      <c r="O33" s="5" t="s">
        <v>11</v>
      </c>
      <c r="P33" s="5" t="s">
        <v>11</v>
      </c>
      <c r="Q33" s="5" t="s">
        <v>11</v>
      </c>
      <c r="R33" s="7" t="s">
        <v>11</v>
      </c>
      <c r="S33" s="7" t="s">
        <v>12</v>
      </c>
      <c r="T33" t="str">
        <f t="shared" ref="T33:T42" si="8">_xlfn.CONCAT("axSIG[",AB5,"]")</f>
        <v>axSIG[]</v>
      </c>
      <c r="U33" s="5" t="s">
        <v>12</v>
      </c>
      <c r="V33" s="5" t="s">
        <v>11</v>
      </c>
      <c r="W33" s="12" t="b">
        <v>0</v>
      </c>
    </row>
    <row r="34" spans="1:23" ht="14.25" customHeight="1" x14ac:dyDescent="0.3">
      <c r="A34" s="5" t="s">
        <v>26</v>
      </c>
      <c r="B34" s="7" t="s">
        <v>43</v>
      </c>
      <c r="C34" s="7" t="s">
        <v>329</v>
      </c>
      <c r="D34" s="14" t="s">
        <v>205</v>
      </c>
      <c r="E34" s="6" t="s">
        <v>160</v>
      </c>
      <c r="F34" s="7" t="s">
        <v>10</v>
      </c>
      <c r="G34" s="5" t="s">
        <v>124</v>
      </c>
      <c r="H34" s="5" t="str">
        <f t="shared" si="0"/>
        <v>0x3015</v>
      </c>
      <c r="I34" s="7">
        <f t="shared" ref="I34:I42" si="9">I33+1</f>
        <v>12309</v>
      </c>
      <c r="J34" s="6" t="str">
        <f t="shared" si="7"/>
        <v>012310</v>
      </c>
      <c r="K34" s="6" t="s">
        <v>11</v>
      </c>
      <c r="L34" s="6"/>
      <c r="M34" s="6">
        <v>1</v>
      </c>
      <c r="N34" s="7" t="str">
        <f>_xlfn.CONCAT("%MX",INDEX('Mapping Sheet'!E:E,Table1[[#This Row],[Modbus Address]]-12287,1),".",INDEX('Mapping Sheet'!F:F,Table1[[#This Row],[Modbus Address]]-12287,1))</f>
        <v>%MX1.5</v>
      </c>
      <c r="O34" s="5" t="s">
        <v>11</v>
      </c>
      <c r="P34" s="5" t="s">
        <v>11</v>
      </c>
      <c r="Q34" s="5" t="s">
        <v>11</v>
      </c>
      <c r="R34" s="7" t="s">
        <v>11</v>
      </c>
      <c r="S34" s="7" t="s">
        <v>12</v>
      </c>
      <c r="T34" t="str">
        <f t="shared" si="8"/>
        <v>axSIG[]</v>
      </c>
      <c r="U34" s="5" t="s">
        <v>12</v>
      </c>
      <c r="V34" s="5" t="s">
        <v>11</v>
      </c>
      <c r="W34" s="12" t="b">
        <v>0</v>
      </c>
    </row>
    <row r="35" spans="1:23" ht="14.25" customHeight="1" x14ac:dyDescent="0.3">
      <c r="A35" s="5" t="s">
        <v>26</v>
      </c>
      <c r="B35" s="7" t="s">
        <v>44</v>
      </c>
      <c r="C35" s="7" t="s">
        <v>330</v>
      </c>
      <c r="D35" s="14" t="s">
        <v>204</v>
      </c>
      <c r="E35" s="6" t="s">
        <v>160</v>
      </c>
      <c r="F35" s="7" t="s">
        <v>10</v>
      </c>
      <c r="G35" s="5" t="s">
        <v>124</v>
      </c>
      <c r="H35" s="5" t="str">
        <f t="shared" ref="H35:H66" si="10">_xlfn.CONCAT("0x",DEC2HEX(I35))</f>
        <v>0x3016</v>
      </c>
      <c r="I35" s="7">
        <f t="shared" si="9"/>
        <v>12310</v>
      </c>
      <c r="J35" s="6" t="str">
        <f t="shared" si="7"/>
        <v>012311</v>
      </c>
      <c r="K35" s="6" t="s">
        <v>11</v>
      </c>
      <c r="L35" s="6"/>
      <c r="M35" s="6">
        <v>1</v>
      </c>
      <c r="N35" s="7" t="str">
        <f>_xlfn.CONCAT("%MX",INDEX('Mapping Sheet'!E:E,Table1[[#This Row],[Modbus Address]]-12287,1),".",INDEX('Mapping Sheet'!F:F,Table1[[#This Row],[Modbus Address]]-12287,1))</f>
        <v>%MX1.6</v>
      </c>
      <c r="O35" s="5" t="s">
        <v>11</v>
      </c>
      <c r="P35" s="5" t="s">
        <v>11</v>
      </c>
      <c r="Q35" s="5" t="s">
        <v>11</v>
      </c>
      <c r="R35" s="7" t="s">
        <v>11</v>
      </c>
      <c r="S35" s="7" t="s">
        <v>12</v>
      </c>
      <c r="T35" t="str">
        <f t="shared" si="8"/>
        <v>axSIG[]</v>
      </c>
      <c r="U35" s="5" t="s">
        <v>12</v>
      </c>
      <c r="V35" s="5" t="s">
        <v>11</v>
      </c>
      <c r="W35" s="12" t="b">
        <v>0</v>
      </c>
    </row>
    <row r="36" spans="1:23" ht="14.25" customHeight="1" x14ac:dyDescent="0.3">
      <c r="A36" s="5" t="s">
        <v>26</v>
      </c>
      <c r="B36" s="7" t="s">
        <v>45</v>
      </c>
      <c r="C36" s="7" t="s">
        <v>331</v>
      </c>
      <c r="D36" s="14" t="s">
        <v>201</v>
      </c>
      <c r="E36" s="6" t="s">
        <v>160</v>
      </c>
      <c r="F36" s="7" t="s">
        <v>10</v>
      </c>
      <c r="G36" s="5" t="s">
        <v>124</v>
      </c>
      <c r="H36" s="5" t="str">
        <f t="shared" si="10"/>
        <v>0x3017</v>
      </c>
      <c r="I36" s="7">
        <f t="shared" si="9"/>
        <v>12311</v>
      </c>
      <c r="J36" s="6" t="str">
        <f t="shared" si="7"/>
        <v>012312</v>
      </c>
      <c r="K36" s="6" t="s">
        <v>11</v>
      </c>
      <c r="L36" s="6"/>
      <c r="M36" s="6">
        <v>1</v>
      </c>
      <c r="N36" s="7" t="str">
        <f>_xlfn.CONCAT("%MX",INDEX('Mapping Sheet'!E:E,Table1[[#This Row],[Modbus Address]]-12287,1),".",INDEX('Mapping Sheet'!F:F,Table1[[#This Row],[Modbus Address]]-12287,1))</f>
        <v>%MX1.7</v>
      </c>
      <c r="O36" s="5" t="s">
        <v>11</v>
      </c>
      <c r="P36" s="5" t="s">
        <v>11</v>
      </c>
      <c r="Q36" s="5" t="s">
        <v>11</v>
      </c>
      <c r="R36" s="7" t="s">
        <v>11</v>
      </c>
      <c r="S36" s="7" t="s">
        <v>12</v>
      </c>
      <c r="T36" t="str">
        <f t="shared" si="8"/>
        <v>axSIG[]</v>
      </c>
      <c r="U36" s="5" t="s">
        <v>12</v>
      </c>
      <c r="V36" s="5" t="s">
        <v>11</v>
      </c>
      <c r="W36" s="12" t="b">
        <v>0</v>
      </c>
    </row>
    <row r="37" spans="1:23" ht="14.25" customHeight="1" x14ac:dyDescent="0.3">
      <c r="A37" s="5" t="s">
        <v>26</v>
      </c>
      <c r="B37" s="7" t="s">
        <v>46</v>
      </c>
      <c r="C37" s="7" t="s">
        <v>332</v>
      </c>
      <c r="D37" s="14" t="s">
        <v>201</v>
      </c>
      <c r="E37" s="6" t="s">
        <v>160</v>
      </c>
      <c r="F37" s="7" t="s">
        <v>10</v>
      </c>
      <c r="G37" s="5" t="s">
        <v>124</v>
      </c>
      <c r="H37" s="5" t="str">
        <f t="shared" si="10"/>
        <v>0x3018</v>
      </c>
      <c r="I37" s="7">
        <f t="shared" si="9"/>
        <v>12312</v>
      </c>
      <c r="J37" s="6" t="str">
        <f t="shared" si="7"/>
        <v>012313</v>
      </c>
      <c r="K37" s="6" t="s">
        <v>11</v>
      </c>
      <c r="L37" s="6"/>
      <c r="M37" s="6">
        <v>1</v>
      </c>
      <c r="N37" s="7" t="str">
        <f>_xlfn.CONCAT("%MX",INDEX('Mapping Sheet'!E:E,Table1[[#This Row],[Modbus Address]]-12287,1),".",INDEX('Mapping Sheet'!F:F,Table1[[#This Row],[Modbus Address]]-12287,1))</f>
        <v>%MX1.8</v>
      </c>
      <c r="O37" s="5" t="s">
        <v>11</v>
      </c>
      <c r="P37" s="5" t="s">
        <v>11</v>
      </c>
      <c r="Q37" s="5" t="s">
        <v>11</v>
      </c>
      <c r="R37" s="7" t="s">
        <v>11</v>
      </c>
      <c r="S37" s="7" t="s">
        <v>12</v>
      </c>
      <c r="T37" t="str">
        <f t="shared" si="8"/>
        <v>axSIG[]</v>
      </c>
      <c r="U37" s="5" t="s">
        <v>12</v>
      </c>
      <c r="V37" s="5" t="s">
        <v>11</v>
      </c>
      <c r="W37" s="12" t="b">
        <v>0</v>
      </c>
    </row>
    <row r="38" spans="1:23" ht="14.25" customHeight="1" x14ac:dyDescent="0.3">
      <c r="A38" s="5" t="s">
        <v>26</v>
      </c>
      <c r="B38" s="7" t="s">
        <v>47</v>
      </c>
      <c r="C38" s="7" t="s">
        <v>333</v>
      </c>
      <c r="D38" s="14" t="s">
        <v>205</v>
      </c>
      <c r="E38" s="6" t="s">
        <v>160</v>
      </c>
      <c r="F38" s="7" t="s">
        <v>10</v>
      </c>
      <c r="G38" s="5" t="s">
        <v>124</v>
      </c>
      <c r="H38" s="5" t="str">
        <f t="shared" si="10"/>
        <v>0x3019</v>
      </c>
      <c r="I38" s="7">
        <f t="shared" si="9"/>
        <v>12313</v>
      </c>
      <c r="J38" s="6" t="str">
        <f t="shared" si="7"/>
        <v>012314</v>
      </c>
      <c r="K38" s="6" t="s">
        <v>184</v>
      </c>
      <c r="L38" s="6" t="s">
        <v>221</v>
      </c>
      <c r="M38" s="6">
        <v>1</v>
      </c>
      <c r="N38" s="7" t="str">
        <f>_xlfn.CONCAT("%MX",INDEX('Mapping Sheet'!E:E,Table1[[#This Row],[Modbus Address]]-12287,1),".",INDEX('Mapping Sheet'!F:F,Table1[[#This Row],[Modbus Address]]-12287,1))</f>
        <v>%MX1.9</v>
      </c>
      <c r="O38" s="5" t="s">
        <v>11</v>
      </c>
      <c r="P38" s="5" t="s">
        <v>11</v>
      </c>
      <c r="Q38" s="5" t="s">
        <v>11</v>
      </c>
      <c r="R38" s="7" t="s">
        <v>11</v>
      </c>
      <c r="S38" s="7" t="s">
        <v>12</v>
      </c>
      <c r="T38" t="str">
        <f t="shared" si="8"/>
        <v>axSIG[]</v>
      </c>
      <c r="U38" s="5" t="s">
        <v>83</v>
      </c>
      <c r="V38" s="5" t="s">
        <v>11</v>
      </c>
      <c r="W38" s="12" t="b">
        <v>0</v>
      </c>
    </row>
    <row r="39" spans="1:23" ht="14.25" customHeight="1" x14ac:dyDescent="0.3">
      <c r="A39" s="5" t="s">
        <v>26</v>
      </c>
      <c r="B39" s="7" t="s">
        <v>48</v>
      </c>
      <c r="C39" s="7" t="s">
        <v>334</v>
      </c>
      <c r="D39" s="14" t="s">
        <v>205</v>
      </c>
      <c r="E39" s="6" t="s">
        <v>160</v>
      </c>
      <c r="F39" s="7" t="s">
        <v>10</v>
      </c>
      <c r="G39" s="5" t="s">
        <v>124</v>
      </c>
      <c r="H39" s="5" t="str">
        <f t="shared" si="10"/>
        <v>0x301A</v>
      </c>
      <c r="I39" s="7">
        <f t="shared" si="9"/>
        <v>12314</v>
      </c>
      <c r="J39" s="6" t="str">
        <f t="shared" si="7"/>
        <v>012315</v>
      </c>
      <c r="K39" s="6" t="s">
        <v>184</v>
      </c>
      <c r="L39" s="6" t="s">
        <v>221</v>
      </c>
      <c r="M39" s="6">
        <v>1</v>
      </c>
      <c r="N39" s="7" t="str">
        <f>_xlfn.CONCAT("%MX",INDEX('Mapping Sheet'!E:E,Table1[[#This Row],[Modbus Address]]-12287,1),".",INDEX('Mapping Sheet'!F:F,Table1[[#This Row],[Modbus Address]]-12287,1))</f>
        <v>%MX1.10</v>
      </c>
      <c r="O39" s="5" t="s">
        <v>11</v>
      </c>
      <c r="P39" s="5" t="s">
        <v>11</v>
      </c>
      <c r="Q39" s="5" t="s">
        <v>11</v>
      </c>
      <c r="R39" s="7" t="s">
        <v>11</v>
      </c>
      <c r="S39" s="7" t="s">
        <v>12</v>
      </c>
      <c r="T39" t="str">
        <f t="shared" si="8"/>
        <v>axSIG[]</v>
      </c>
      <c r="U39" s="5" t="s">
        <v>83</v>
      </c>
      <c r="V39" s="5" t="s">
        <v>11</v>
      </c>
      <c r="W39" s="12" t="b">
        <v>0</v>
      </c>
    </row>
    <row r="40" spans="1:23" ht="14.25" customHeight="1" x14ac:dyDescent="0.3">
      <c r="A40" s="5" t="s">
        <v>26</v>
      </c>
      <c r="B40" s="7" t="s">
        <v>49</v>
      </c>
      <c r="C40" s="7" t="s">
        <v>335</v>
      </c>
      <c r="D40" s="14" t="s">
        <v>204</v>
      </c>
      <c r="E40" s="6" t="s">
        <v>160</v>
      </c>
      <c r="F40" s="7" t="s">
        <v>10</v>
      </c>
      <c r="G40" s="5" t="s">
        <v>124</v>
      </c>
      <c r="H40" s="5" t="str">
        <f t="shared" si="10"/>
        <v>0x301B</v>
      </c>
      <c r="I40" s="7">
        <f t="shared" si="9"/>
        <v>12315</v>
      </c>
      <c r="J40" s="6" t="str">
        <f t="shared" si="7"/>
        <v>012316</v>
      </c>
      <c r="K40" s="6" t="s">
        <v>184</v>
      </c>
      <c r="L40" s="6" t="s">
        <v>221</v>
      </c>
      <c r="M40" s="6">
        <v>1</v>
      </c>
      <c r="N40" s="7" t="str">
        <f>_xlfn.CONCAT("%MX",INDEX('Mapping Sheet'!E:E,Table1[[#This Row],[Modbus Address]]-12287,1),".",INDEX('Mapping Sheet'!F:F,Table1[[#This Row],[Modbus Address]]-12287,1))</f>
        <v>%MX1.11</v>
      </c>
      <c r="O40" s="5" t="s">
        <v>11</v>
      </c>
      <c r="P40" s="5" t="s">
        <v>11</v>
      </c>
      <c r="Q40" s="5" t="s">
        <v>11</v>
      </c>
      <c r="R40" s="7" t="s">
        <v>11</v>
      </c>
      <c r="S40" s="7" t="s">
        <v>12</v>
      </c>
      <c r="T40" t="str">
        <f t="shared" si="8"/>
        <v>axSIG[]</v>
      </c>
      <c r="U40" s="5" t="s">
        <v>83</v>
      </c>
      <c r="V40" s="5" t="s">
        <v>11</v>
      </c>
      <c r="W40" s="12" t="b">
        <v>0</v>
      </c>
    </row>
    <row r="41" spans="1:23" ht="14.25" customHeight="1" x14ac:dyDescent="0.3">
      <c r="A41" s="5" t="s">
        <v>26</v>
      </c>
      <c r="B41" s="7" t="s">
        <v>50</v>
      </c>
      <c r="C41" s="7" t="s">
        <v>336</v>
      </c>
      <c r="D41" s="14" t="s">
        <v>201</v>
      </c>
      <c r="E41" s="6" t="s">
        <v>160</v>
      </c>
      <c r="F41" s="7" t="s">
        <v>10</v>
      </c>
      <c r="G41" s="5" t="s">
        <v>124</v>
      </c>
      <c r="H41" s="5" t="str">
        <f t="shared" si="10"/>
        <v>0x301C</v>
      </c>
      <c r="I41" s="7">
        <f t="shared" si="9"/>
        <v>12316</v>
      </c>
      <c r="J41" s="6" t="str">
        <f t="shared" si="7"/>
        <v>012317</v>
      </c>
      <c r="K41" s="6" t="s">
        <v>184</v>
      </c>
      <c r="L41" s="6" t="s">
        <v>221</v>
      </c>
      <c r="M41" s="6">
        <v>1</v>
      </c>
      <c r="N41" s="7" t="str">
        <f>_xlfn.CONCAT("%MX",INDEX('Mapping Sheet'!E:E,Table1[[#This Row],[Modbus Address]]-12287,1),".",INDEX('Mapping Sheet'!F:F,Table1[[#This Row],[Modbus Address]]-12287,1))</f>
        <v>%MX1.12</v>
      </c>
      <c r="O41" s="5" t="s">
        <v>11</v>
      </c>
      <c r="P41" s="5" t="s">
        <v>11</v>
      </c>
      <c r="Q41" s="5" t="s">
        <v>11</v>
      </c>
      <c r="R41" s="7" t="s">
        <v>11</v>
      </c>
      <c r="S41" s="7" t="s">
        <v>12</v>
      </c>
      <c r="T41" t="str">
        <f t="shared" si="8"/>
        <v>axSIG[]</v>
      </c>
      <c r="U41" s="5" t="s">
        <v>83</v>
      </c>
      <c r="V41" s="5" t="s">
        <v>11</v>
      </c>
      <c r="W41" s="12" t="b">
        <v>0</v>
      </c>
    </row>
    <row r="42" spans="1:23" ht="14.25" customHeight="1" x14ac:dyDescent="0.3">
      <c r="A42" s="5" t="s">
        <v>26</v>
      </c>
      <c r="B42" s="7" t="s">
        <v>51</v>
      </c>
      <c r="C42" s="7" t="s">
        <v>337</v>
      </c>
      <c r="D42" s="14" t="s">
        <v>201</v>
      </c>
      <c r="E42" s="6" t="s">
        <v>160</v>
      </c>
      <c r="F42" s="7" t="s">
        <v>10</v>
      </c>
      <c r="G42" s="5" t="s">
        <v>124</v>
      </c>
      <c r="H42" s="5" t="str">
        <f t="shared" si="10"/>
        <v>0x301D</v>
      </c>
      <c r="I42" s="7">
        <f t="shared" si="9"/>
        <v>12317</v>
      </c>
      <c r="J42" s="6" t="str">
        <f t="shared" si="7"/>
        <v>012318</v>
      </c>
      <c r="K42" s="6" t="s">
        <v>184</v>
      </c>
      <c r="L42" s="6" t="s">
        <v>221</v>
      </c>
      <c r="M42" s="6">
        <v>1</v>
      </c>
      <c r="N42" s="7" t="str">
        <f>_xlfn.CONCAT("%MX",INDEX('Mapping Sheet'!E:E,Table1[[#This Row],[Modbus Address]]-12287,1),".",INDEX('Mapping Sheet'!F:F,Table1[[#This Row],[Modbus Address]]-12287,1))</f>
        <v>%MX1.13</v>
      </c>
      <c r="O42" s="5" t="s">
        <v>11</v>
      </c>
      <c r="P42" s="5" t="s">
        <v>11</v>
      </c>
      <c r="Q42" s="5" t="s">
        <v>11</v>
      </c>
      <c r="R42" s="7" t="s">
        <v>11</v>
      </c>
      <c r="S42" s="7" t="s">
        <v>12</v>
      </c>
      <c r="T42" t="str">
        <f t="shared" si="8"/>
        <v>axSIG[]</v>
      </c>
      <c r="U42" s="5" t="s">
        <v>83</v>
      </c>
      <c r="V42" s="5" t="s">
        <v>11</v>
      </c>
      <c r="W42" s="12" t="b">
        <v>0</v>
      </c>
    </row>
    <row r="43" spans="1:23" ht="14.25" customHeight="1" x14ac:dyDescent="0.3">
      <c r="A43" s="5" t="s">
        <v>26</v>
      </c>
      <c r="B43" s="7" t="s">
        <v>52</v>
      </c>
      <c r="C43" s="5" t="s">
        <v>338</v>
      </c>
      <c r="D43" s="14" t="s">
        <v>199</v>
      </c>
      <c r="E43" s="6" t="s">
        <v>160</v>
      </c>
      <c r="F43" s="5" t="s">
        <v>116</v>
      </c>
      <c r="G43" s="5" t="s">
        <v>124</v>
      </c>
      <c r="H43" s="5" t="str">
        <f t="shared" si="10"/>
        <v>0x30A4</v>
      </c>
      <c r="I43" s="5">
        <f>I104+101</f>
        <v>12452</v>
      </c>
      <c r="J43" s="6" t="str">
        <f t="shared" si="7"/>
        <v>012453</v>
      </c>
      <c r="K43" s="6" t="s">
        <v>11</v>
      </c>
      <c r="L43" s="6"/>
      <c r="M43" s="6">
        <v>32</v>
      </c>
      <c r="N43" s="5" t="str">
        <f>_xlfn.CONCAT("%MD",INDEX('Mapping Sheet'!G:G,Table1[[#This Row],[Modbus Address]]-12287,1))</f>
        <v>%MD82</v>
      </c>
      <c r="O43" s="5" t="s">
        <v>11</v>
      </c>
      <c r="P43" s="5" t="s">
        <v>11</v>
      </c>
      <c r="Q43" s="5" t="s">
        <v>11</v>
      </c>
      <c r="R43" s="7" t="s">
        <v>11</v>
      </c>
      <c r="S43" s="7" t="s">
        <v>12</v>
      </c>
      <c r="T43" t="str">
        <f>_xlfn.CONCAT("adiSW[",AB1,"]")</f>
        <v>adiSW[]</v>
      </c>
      <c r="U43" s="5" t="s">
        <v>12</v>
      </c>
      <c r="V43" s="5" t="s">
        <v>11</v>
      </c>
      <c r="W43" s="12" t="b">
        <v>0</v>
      </c>
    </row>
    <row r="44" spans="1:23" ht="14.25" customHeight="1" x14ac:dyDescent="0.3">
      <c r="A44" s="5" t="s">
        <v>26</v>
      </c>
      <c r="B44" t="s">
        <v>105</v>
      </c>
      <c r="C44" s="5" t="s">
        <v>339</v>
      </c>
      <c r="D44" s="14" t="s">
        <v>197</v>
      </c>
      <c r="E44" s="6" t="s">
        <v>160</v>
      </c>
      <c r="F44" t="s">
        <v>10</v>
      </c>
      <c r="G44" s="5" t="s">
        <v>124</v>
      </c>
      <c r="H44" s="5" t="str">
        <f t="shared" si="10"/>
        <v>0x301E</v>
      </c>
      <c r="I44">
        <f>I42+1</f>
        <v>12318</v>
      </c>
      <c r="J44" s="6" t="str">
        <f t="shared" si="7"/>
        <v>012319</v>
      </c>
      <c r="K44" s="6" t="s">
        <v>11</v>
      </c>
      <c r="L44" s="6"/>
      <c r="M44" s="6">
        <v>1</v>
      </c>
      <c r="N44" s="7" t="str">
        <f>_xlfn.CONCAT("%MX",INDEX('Mapping Sheet'!E:E,Table1[[#This Row],[Modbus Address]]-12287,1),".",INDEX('Mapping Sheet'!F:F,Table1[[#This Row],[Modbus Address]]-12287,1))</f>
        <v>%MX1.14</v>
      </c>
      <c r="O44" s="5" t="s">
        <v>11</v>
      </c>
      <c r="P44" s="5" t="s">
        <v>11</v>
      </c>
      <c r="Q44" s="5" t="s">
        <v>11</v>
      </c>
      <c r="R44" s="7" t="s">
        <v>11</v>
      </c>
      <c r="S44" s="7" t="s">
        <v>12</v>
      </c>
      <c r="T44" t="str">
        <f>_xlfn.CONCAT("axSIG[",AB15,"]")</f>
        <v>axSIG[]</v>
      </c>
      <c r="U44" t="s">
        <v>12</v>
      </c>
      <c r="V44" s="5" t="s">
        <v>11</v>
      </c>
      <c r="W44" s="12" t="b">
        <v>0</v>
      </c>
    </row>
    <row r="45" spans="1:23" ht="14.25" customHeight="1" x14ac:dyDescent="0.3">
      <c r="A45" s="5" t="s">
        <v>26</v>
      </c>
      <c r="B45" t="s">
        <v>107</v>
      </c>
      <c r="C45" t="s">
        <v>340</v>
      </c>
      <c r="D45" t="s">
        <v>199</v>
      </c>
      <c r="E45" s="6" t="s">
        <v>140</v>
      </c>
      <c r="F45" s="5" t="s">
        <v>33</v>
      </c>
      <c r="G45" s="5" t="s">
        <v>124</v>
      </c>
      <c r="H45" s="5" t="str">
        <f t="shared" si="10"/>
        <v>0x3120</v>
      </c>
      <c r="I45">
        <f>I32+2</f>
        <v>12576</v>
      </c>
      <c r="J45" s="6" t="str">
        <f t="shared" ref="J45:J50" si="11">_xlfn.CONCAT(4,I45+1)</f>
        <v>412577</v>
      </c>
      <c r="K45" s="6" t="s">
        <v>185</v>
      </c>
      <c r="L45" s="6" t="s">
        <v>219</v>
      </c>
      <c r="M45" s="6">
        <v>32</v>
      </c>
      <c r="N45" s="5" t="str">
        <f>_xlfn.CONCAT("%MD",INDEX('Mapping Sheet'!G:G,Table1[[#This Row],[Modbus Address]]-12287,1))</f>
        <v>%MD144</v>
      </c>
      <c r="O45" s="5" t="s">
        <v>11</v>
      </c>
      <c r="P45" s="5" t="s">
        <v>11</v>
      </c>
      <c r="Q45" s="5" t="s">
        <v>11</v>
      </c>
      <c r="R45" s="7" t="s">
        <v>11</v>
      </c>
      <c r="S45" s="7" t="s">
        <v>12</v>
      </c>
      <c r="T45" t="str">
        <f>_xlfn.CONCAT("arSW[",AB23,"]")</f>
        <v>arSW[]</v>
      </c>
      <c r="U45" t="s">
        <v>83</v>
      </c>
      <c r="V45" s="5" t="s">
        <v>11</v>
      </c>
      <c r="W45" s="12" t="b">
        <v>0</v>
      </c>
    </row>
    <row r="46" spans="1:23" ht="14.25" customHeight="1" x14ac:dyDescent="0.3">
      <c r="A46" s="5" t="s">
        <v>26</v>
      </c>
      <c r="B46" t="s">
        <v>108</v>
      </c>
      <c r="C46" t="s">
        <v>341</v>
      </c>
      <c r="D46" t="s">
        <v>199</v>
      </c>
      <c r="E46" s="6" t="s">
        <v>140</v>
      </c>
      <c r="F46" s="5" t="s">
        <v>33</v>
      </c>
      <c r="G46" s="5" t="s">
        <v>124</v>
      </c>
      <c r="H46" s="5" t="str">
        <f t="shared" si="10"/>
        <v>0x3122</v>
      </c>
      <c r="I46">
        <f>I45+2</f>
        <v>12578</v>
      </c>
      <c r="J46" s="6" t="str">
        <f t="shared" si="11"/>
        <v>412579</v>
      </c>
      <c r="K46" s="6" t="s">
        <v>185</v>
      </c>
      <c r="L46" s="6" t="s">
        <v>219</v>
      </c>
      <c r="M46" s="6">
        <v>32</v>
      </c>
      <c r="N46" s="5" t="str">
        <f>_xlfn.CONCAT("%MD",INDEX('Mapping Sheet'!G:G,Table1[[#This Row],[Modbus Address]]-12287,1))</f>
        <v>%MD145</v>
      </c>
      <c r="O46" s="5" t="s">
        <v>11</v>
      </c>
      <c r="P46" s="5" t="s">
        <v>11</v>
      </c>
      <c r="Q46" s="5" t="s">
        <v>11</v>
      </c>
      <c r="R46" s="7" t="s">
        <v>11</v>
      </c>
      <c r="S46" s="7" t="s">
        <v>12</v>
      </c>
      <c r="T46" t="str">
        <f>_xlfn.CONCAT("arSW[",AB24,"]")</f>
        <v>arSW[]</v>
      </c>
      <c r="U46" t="s">
        <v>83</v>
      </c>
      <c r="V46" s="5" t="s">
        <v>11</v>
      </c>
      <c r="W46" s="12" t="b">
        <v>0</v>
      </c>
    </row>
    <row r="47" spans="1:23" ht="14.25" customHeight="1" x14ac:dyDescent="0.3">
      <c r="A47" s="5" t="s">
        <v>26</v>
      </c>
      <c r="B47" t="s">
        <v>109</v>
      </c>
      <c r="C47" t="s">
        <v>193</v>
      </c>
      <c r="E47" s="6" t="s">
        <v>141</v>
      </c>
      <c r="F47" s="5" t="s">
        <v>33</v>
      </c>
      <c r="G47" s="5" t="s">
        <v>124</v>
      </c>
      <c r="H47" s="5" t="str">
        <f t="shared" si="10"/>
        <v>0x3124</v>
      </c>
      <c r="I47">
        <f>I46+2</f>
        <v>12580</v>
      </c>
      <c r="J47" s="6" t="str">
        <f t="shared" si="11"/>
        <v>412581</v>
      </c>
      <c r="K47" s="6" t="s">
        <v>185</v>
      </c>
      <c r="L47" s="6" t="s">
        <v>219</v>
      </c>
      <c r="M47" s="6">
        <v>32</v>
      </c>
      <c r="N47" s="5" t="str">
        <f>_xlfn.CONCAT("%MD",INDEX('Mapping Sheet'!G:G,Table1[[#This Row],[Modbus Address]]-12287,1))</f>
        <v>%MD146</v>
      </c>
      <c r="O47" s="5" t="s">
        <v>11</v>
      </c>
      <c r="P47" s="5" t="s">
        <v>11</v>
      </c>
      <c r="Q47" s="5" t="s">
        <v>11</v>
      </c>
      <c r="R47" s="7" t="s">
        <v>11</v>
      </c>
      <c r="S47" s="7" t="s">
        <v>12</v>
      </c>
      <c r="T47" t="str">
        <f>_xlfn.CONCAT("arSW[",AB25,"]")</f>
        <v>arSW[]</v>
      </c>
      <c r="U47" t="s">
        <v>83</v>
      </c>
      <c r="V47" s="5" t="s">
        <v>11</v>
      </c>
      <c r="W47" s="12" t="b">
        <v>0</v>
      </c>
    </row>
    <row r="48" spans="1:23" ht="14.25" customHeight="1" x14ac:dyDescent="0.3">
      <c r="A48" s="5" t="s">
        <v>26</v>
      </c>
      <c r="B48" t="s">
        <v>110</v>
      </c>
      <c r="C48" t="s">
        <v>193</v>
      </c>
      <c r="E48" s="6" t="s">
        <v>141</v>
      </c>
      <c r="F48" s="5" t="s">
        <v>33</v>
      </c>
      <c r="G48" s="5" t="s">
        <v>124</v>
      </c>
      <c r="H48" s="5" t="str">
        <f t="shared" si="10"/>
        <v>0x3126</v>
      </c>
      <c r="I48">
        <f>I47+2</f>
        <v>12582</v>
      </c>
      <c r="J48" s="6" t="str">
        <f t="shared" si="11"/>
        <v>412583</v>
      </c>
      <c r="K48" s="6" t="s">
        <v>11</v>
      </c>
      <c r="L48" s="6"/>
      <c r="M48" s="6">
        <v>32</v>
      </c>
      <c r="N48" s="5" t="str">
        <f>_xlfn.CONCAT("%MD",INDEX('Mapping Sheet'!G:G,Table1[[#This Row],[Modbus Address]]-12287,1))</f>
        <v>%MD147</v>
      </c>
      <c r="O48" s="5" t="s">
        <v>11</v>
      </c>
      <c r="P48" s="5" t="s">
        <v>11</v>
      </c>
      <c r="Q48" s="5" t="s">
        <v>11</v>
      </c>
      <c r="R48" s="7" t="s">
        <v>11</v>
      </c>
      <c r="S48" s="7" t="s">
        <v>12</v>
      </c>
      <c r="T48" t="str">
        <f>_xlfn.CONCAT("arSW[",AB26,"]")</f>
        <v>arSW[]</v>
      </c>
      <c r="U48" t="s">
        <v>83</v>
      </c>
      <c r="V48" s="5" t="s">
        <v>11</v>
      </c>
      <c r="W48" s="12" t="b">
        <v>0</v>
      </c>
    </row>
    <row r="49" spans="1:23" ht="14.25" customHeight="1" x14ac:dyDescent="0.3">
      <c r="A49" s="5" t="s">
        <v>26</v>
      </c>
      <c r="B49" s="5" t="s">
        <v>111</v>
      </c>
      <c r="C49" s="5" t="s">
        <v>342</v>
      </c>
      <c r="D49" s="14" t="s">
        <v>199</v>
      </c>
      <c r="E49" s="6" t="s">
        <v>140</v>
      </c>
      <c r="F49" s="5" t="s">
        <v>116</v>
      </c>
      <c r="G49" s="5" t="s">
        <v>124</v>
      </c>
      <c r="H49" s="5" t="str">
        <f t="shared" si="10"/>
        <v>0x30A6</v>
      </c>
      <c r="I49">
        <f>I43+2</f>
        <v>12454</v>
      </c>
      <c r="J49" s="6" t="str">
        <f t="shared" si="11"/>
        <v>412455</v>
      </c>
      <c r="K49" s="6" t="s">
        <v>185</v>
      </c>
      <c r="L49" s="6" t="s">
        <v>219</v>
      </c>
      <c r="M49" s="6">
        <v>32</v>
      </c>
      <c r="N49" s="5" t="str">
        <f>_xlfn.CONCAT("%MD",INDEX('Mapping Sheet'!G:G,Table1[[#This Row],[Modbus Address]]-12287,1))</f>
        <v>%MD83</v>
      </c>
      <c r="O49" s="5" t="s">
        <v>11</v>
      </c>
      <c r="P49" s="5" t="s">
        <v>11</v>
      </c>
      <c r="Q49" s="5" t="s">
        <v>11</v>
      </c>
      <c r="R49" s="7" t="s">
        <v>11</v>
      </c>
      <c r="S49" s="7" t="s">
        <v>12</v>
      </c>
      <c r="T49" t="str">
        <f>_xlfn.CONCAT("adiSW[",AB2,"]")</f>
        <v>adiSW[]</v>
      </c>
      <c r="U49" t="s">
        <v>83</v>
      </c>
      <c r="V49" s="5" t="s">
        <v>11</v>
      </c>
      <c r="W49" s="12" t="b">
        <v>0</v>
      </c>
    </row>
    <row r="50" spans="1:23" ht="14.25" customHeight="1" x14ac:dyDescent="0.3">
      <c r="A50" s="5" t="s">
        <v>26</v>
      </c>
      <c r="B50" s="5" t="s">
        <v>112</v>
      </c>
      <c r="C50" s="5" t="s">
        <v>343</v>
      </c>
      <c r="D50" s="14" t="s">
        <v>199</v>
      </c>
      <c r="E50" s="6" t="s">
        <v>140</v>
      </c>
      <c r="F50" s="5" t="s">
        <v>116</v>
      </c>
      <c r="G50" s="5" t="s">
        <v>124</v>
      </c>
      <c r="H50" s="5" t="str">
        <f t="shared" si="10"/>
        <v>0x30A8</v>
      </c>
      <c r="I50">
        <f>I49+2</f>
        <v>12456</v>
      </c>
      <c r="J50" s="6" t="str">
        <f t="shared" si="11"/>
        <v>412457</v>
      </c>
      <c r="K50" s="6" t="s">
        <v>185</v>
      </c>
      <c r="L50" s="6" t="s">
        <v>219</v>
      </c>
      <c r="M50" s="6">
        <v>32</v>
      </c>
      <c r="N50" s="5" t="str">
        <f>_xlfn.CONCAT("%MD",INDEX('Mapping Sheet'!G:G,Table1[[#This Row],[Modbus Address]]-12287,1))</f>
        <v>%MD84</v>
      </c>
      <c r="O50" s="5" t="s">
        <v>11</v>
      </c>
      <c r="P50" s="5" t="s">
        <v>11</v>
      </c>
      <c r="Q50" s="5" t="s">
        <v>11</v>
      </c>
      <c r="R50" s="7" t="s">
        <v>11</v>
      </c>
      <c r="S50" s="7" t="s">
        <v>12</v>
      </c>
      <c r="T50" t="str">
        <f>_xlfn.CONCAT("adiSW[",AB3,"]")</f>
        <v>adiSW[]</v>
      </c>
      <c r="U50" t="s">
        <v>83</v>
      </c>
      <c r="V50" s="5" t="s">
        <v>11</v>
      </c>
      <c r="W50" s="12" t="b">
        <v>0</v>
      </c>
    </row>
    <row r="51" spans="1:23" ht="14.25" customHeight="1" x14ac:dyDescent="0.3">
      <c r="A51" s="5" t="s">
        <v>53</v>
      </c>
      <c r="B51" s="5" t="s">
        <v>54</v>
      </c>
      <c r="C51" s="7" t="s">
        <v>344</v>
      </c>
      <c r="D51" s="14" t="s">
        <v>203</v>
      </c>
      <c r="E51" s="6" t="s">
        <v>140</v>
      </c>
      <c r="F51" s="7" t="s">
        <v>10</v>
      </c>
      <c r="G51" s="5" t="s">
        <v>124</v>
      </c>
      <c r="H51" s="5" t="str">
        <f t="shared" si="10"/>
        <v>0x301F</v>
      </c>
      <c r="I51" s="7">
        <f>I44+1</f>
        <v>12319</v>
      </c>
      <c r="J51" s="6" t="str">
        <f t="shared" ref="J51:J76" si="12">_xlfn.CONCAT(0,I51+1)</f>
        <v>012320</v>
      </c>
      <c r="K51" s="6" t="s">
        <v>184</v>
      </c>
      <c r="L51" s="6" t="s">
        <v>221</v>
      </c>
      <c r="M51" s="6">
        <v>1</v>
      </c>
      <c r="N51" s="7" t="str">
        <f>_xlfn.CONCAT("%MX",INDEX('Mapping Sheet'!E:E,Table1[[#This Row],[Modbus Address]]-12287,1),".",INDEX('Mapping Sheet'!F:F,Table1[[#This Row],[Modbus Address]]-12287,1))</f>
        <v>%MX1.15</v>
      </c>
      <c r="O51" s="5" t="s">
        <v>11</v>
      </c>
      <c r="P51" s="5" t="s">
        <v>11</v>
      </c>
      <c r="Q51" s="5" t="s">
        <v>11</v>
      </c>
      <c r="R51" s="7" t="s">
        <v>11</v>
      </c>
      <c r="S51" s="7" t="s">
        <v>12</v>
      </c>
      <c r="T51" t="str">
        <f t="shared" ref="T51:T67" si="13">_xlfn.CONCAT("axALM[",AB1,"]")</f>
        <v>axALM[]</v>
      </c>
      <c r="U51" t="s">
        <v>83</v>
      </c>
      <c r="V51" s="5" t="s">
        <v>11</v>
      </c>
      <c r="W51" s="12" t="b">
        <v>0</v>
      </c>
    </row>
    <row r="52" spans="1:23" ht="14.25" customHeight="1" x14ac:dyDescent="0.3">
      <c r="A52" s="5" t="s">
        <v>53</v>
      </c>
      <c r="B52" s="7" t="s">
        <v>55</v>
      </c>
      <c r="C52" s="7" t="s">
        <v>345</v>
      </c>
      <c r="D52" s="14" t="s">
        <v>205</v>
      </c>
      <c r="E52" s="6" t="s">
        <v>140</v>
      </c>
      <c r="F52" s="7" t="s">
        <v>10</v>
      </c>
      <c r="G52" s="5" t="s">
        <v>124</v>
      </c>
      <c r="H52" s="5" t="str">
        <f t="shared" si="10"/>
        <v>0x3020</v>
      </c>
      <c r="I52" s="7">
        <f t="shared" ref="I52:I76" si="14">I51+1</f>
        <v>12320</v>
      </c>
      <c r="J52" s="6" t="str">
        <f t="shared" si="12"/>
        <v>012321</v>
      </c>
      <c r="K52" s="6" t="s">
        <v>184</v>
      </c>
      <c r="L52" s="6" t="s">
        <v>221</v>
      </c>
      <c r="M52" s="6">
        <v>1</v>
      </c>
      <c r="N52" s="7" t="str">
        <f>_xlfn.CONCAT("%MX",INDEX('Mapping Sheet'!E:E,Table1[[#This Row],[Modbus Address]]-12287,1),".",INDEX('Mapping Sheet'!F:F,Table1[[#This Row],[Modbus Address]]-12287,1))</f>
        <v>%MX2.0</v>
      </c>
      <c r="O52" s="5" t="s">
        <v>11</v>
      </c>
      <c r="P52" s="5" t="s">
        <v>11</v>
      </c>
      <c r="Q52" s="5" t="s">
        <v>11</v>
      </c>
      <c r="R52" s="7" t="s">
        <v>11</v>
      </c>
      <c r="S52" s="7" t="s">
        <v>12</v>
      </c>
      <c r="T52" t="str">
        <f t="shared" si="13"/>
        <v>axALM[]</v>
      </c>
      <c r="U52" t="s">
        <v>83</v>
      </c>
      <c r="V52" s="5" t="s">
        <v>11</v>
      </c>
      <c r="W52" s="12" t="b">
        <v>0</v>
      </c>
    </row>
    <row r="53" spans="1:23" ht="14.25" customHeight="1" x14ac:dyDescent="0.3">
      <c r="A53" s="5" t="s">
        <v>53</v>
      </c>
      <c r="B53" s="7" t="s">
        <v>56</v>
      </c>
      <c r="C53" s="7" t="s">
        <v>346</v>
      </c>
      <c r="D53" s="14" t="s">
        <v>201</v>
      </c>
      <c r="E53" s="6" t="s">
        <v>140</v>
      </c>
      <c r="F53" s="7" t="s">
        <v>10</v>
      </c>
      <c r="G53" s="5" t="s">
        <v>124</v>
      </c>
      <c r="H53" s="5" t="str">
        <f t="shared" si="10"/>
        <v>0x3021</v>
      </c>
      <c r="I53" s="7">
        <f t="shared" si="14"/>
        <v>12321</v>
      </c>
      <c r="J53" s="6" t="str">
        <f t="shared" si="12"/>
        <v>012322</v>
      </c>
      <c r="K53" s="6" t="s">
        <v>184</v>
      </c>
      <c r="L53" s="6" t="s">
        <v>221</v>
      </c>
      <c r="M53" s="6">
        <v>1</v>
      </c>
      <c r="N53" s="7" t="str">
        <f>_xlfn.CONCAT("%MX",INDEX('Mapping Sheet'!E:E,Table1[[#This Row],[Modbus Address]]-12287,1),".",INDEX('Mapping Sheet'!F:F,Table1[[#This Row],[Modbus Address]]-12287,1))</f>
        <v>%MX2.1</v>
      </c>
      <c r="O53" s="5" t="s">
        <v>11</v>
      </c>
      <c r="P53" s="5" t="s">
        <v>11</v>
      </c>
      <c r="Q53" s="5" t="s">
        <v>11</v>
      </c>
      <c r="R53" s="7" t="s">
        <v>11</v>
      </c>
      <c r="S53" s="7" t="s">
        <v>12</v>
      </c>
      <c r="T53" t="str">
        <f t="shared" si="13"/>
        <v>axALM[]</v>
      </c>
      <c r="U53" t="s">
        <v>83</v>
      </c>
      <c r="V53" s="5" t="s">
        <v>11</v>
      </c>
      <c r="W53" s="12" t="b">
        <v>0</v>
      </c>
    </row>
    <row r="54" spans="1:23" ht="14.25" customHeight="1" x14ac:dyDescent="0.3">
      <c r="A54" s="5" t="s">
        <v>53</v>
      </c>
      <c r="B54" s="7" t="s">
        <v>57</v>
      </c>
      <c r="C54" s="7" t="s">
        <v>347</v>
      </c>
      <c r="D54" s="14" t="s">
        <v>199</v>
      </c>
      <c r="E54" s="6" t="s">
        <v>140</v>
      </c>
      <c r="F54" s="7" t="s">
        <v>10</v>
      </c>
      <c r="G54" s="5" t="s">
        <v>124</v>
      </c>
      <c r="H54" s="5" t="str">
        <f t="shared" si="10"/>
        <v>0x3022</v>
      </c>
      <c r="I54" s="7">
        <f t="shared" si="14"/>
        <v>12322</v>
      </c>
      <c r="J54" s="6" t="str">
        <f t="shared" si="12"/>
        <v>012323</v>
      </c>
      <c r="K54" s="6" t="s">
        <v>184</v>
      </c>
      <c r="L54" s="6" t="s">
        <v>221</v>
      </c>
      <c r="M54" s="6">
        <v>1</v>
      </c>
      <c r="N54" s="7" t="str">
        <f>_xlfn.CONCAT("%MX",INDEX('Mapping Sheet'!E:E,Table1[[#This Row],[Modbus Address]]-12287,1),".",INDEX('Mapping Sheet'!F:F,Table1[[#This Row],[Modbus Address]]-12287,1))</f>
        <v>%MX2.2</v>
      </c>
      <c r="O54" s="5" t="s">
        <v>11</v>
      </c>
      <c r="P54" s="5" t="s">
        <v>11</v>
      </c>
      <c r="Q54" s="5" t="s">
        <v>11</v>
      </c>
      <c r="R54" s="7" t="s">
        <v>11</v>
      </c>
      <c r="S54" s="7" t="s">
        <v>12</v>
      </c>
      <c r="T54" t="str">
        <f t="shared" si="13"/>
        <v>axALM[]</v>
      </c>
      <c r="U54" t="s">
        <v>83</v>
      </c>
      <c r="V54" s="5" t="s">
        <v>11</v>
      </c>
      <c r="W54" s="12" t="b">
        <v>0</v>
      </c>
    </row>
    <row r="55" spans="1:23" ht="14.25" customHeight="1" x14ac:dyDescent="0.3">
      <c r="A55" s="5" t="s">
        <v>53</v>
      </c>
      <c r="B55" s="7" t="s">
        <v>58</v>
      </c>
      <c r="C55" s="7" t="s">
        <v>348</v>
      </c>
      <c r="D55" s="14" t="s">
        <v>202</v>
      </c>
      <c r="E55" s="6" t="s">
        <v>140</v>
      </c>
      <c r="F55" s="7" t="s">
        <v>10</v>
      </c>
      <c r="G55" s="5" t="s">
        <v>124</v>
      </c>
      <c r="H55" s="5" t="str">
        <f t="shared" si="10"/>
        <v>0x3023</v>
      </c>
      <c r="I55" s="7">
        <f t="shared" si="14"/>
        <v>12323</v>
      </c>
      <c r="J55" s="6" t="str">
        <f t="shared" si="12"/>
        <v>012324</v>
      </c>
      <c r="K55" s="6" t="s">
        <v>184</v>
      </c>
      <c r="L55" s="6" t="s">
        <v>221</v>
      </c>
      <c r="M55" s="6">
        <v>1</v>
      </c>
      <c r="N55" s="7" t="str">
        <f>_xlfn.CONCAT("%MX",INDEX('Mapping Sheet'!E:E,Table1[[#This Row],[Modbus Address]]-12287,1),".",INDEX('Mapping Sheet'!F:F,Table1[[#This Row],[Modbus Address]]-12287,1))</f>
        <v>%MX2.3</v>
      </c>
      <c r="O55" s="5" t="s">
        <v>11</v>
      </c>
      <c r="P55" s="5" t="s">
        <v>11</v>
      </c>
      <c r="Q55" s="5" t="s">
        <v>11</v>
      </c>
      <c r="R55" s="7" t="s">
        <v>11</v>
      </c>
      <c r="S55" s="7" t="s">
        <v>12</v>
      </c>
      <c r="T55" t="str">
        <f t="shared" si="13"/>
        <v>axALM[]</v>
      </c>
      <c r="U55" t="s">
        <v>83</v>
      </c>
      <c r="V55" s="5" t="s">
        <v>11</v>
      </c>
      <c r="W55" s="12" t="b">
        <v>0</v>
      </c>
    </row>
    <row r="56" spans="1:23" ht="14.25" customHeight="1" x14ac:dyDescent="0.3">
      <c r="A56" s="5" t="s">
        <v>53</v>
      </c>
      <c r="B56" s="7" t="s">
        <v>59</v>
      </c>
      <c r="C56" s="7" t="s">
        <v>349</v>
      </c>
      <c r="D56" s="14" t="s">
        <v>204</v>
      </c>
      <c r="E56" s="6" t="s">
        <v>140</v>
      </c>
      <c r="F56" s="7" t="s">
        <v>10</v>
      </c>
      <c r="G56" s="5" t="s">
        <v>124</v>
      </c>
      <c r="H56" s="5" t="str">
        <f t="shared" si="10"/>
        <v>0x3024</v>
      </c>
      <c r="I56" s="7">
        <f t="shared" si="14"/>
        <v>12324</v>
      </c>
      <c r="J56" s="6" t="str">
        <f t="shared" si="12"/>
        <v>012325</v>
      </c>
      <c r="K56" s="6" t="s">
        <v>184</v>
      </c>
      <c r="L56" s="6" t="s">
        <v>221</v>
      </c>
      <c r="M56" s="6">
        <v>1</v>
      </c>
      <c r="N56" s="7" t="str">
        <f>_xlfn.CONCAT("%MX",INDEX('Mapping Sheet'!E:E,Table1[[#This Row],[Modbus Address]]-12287,1),".",INDEX('Mapping Sheet'!F:F,Table1[[#This Row],[Modbus Address]]-12287,1))</f>
        <v>%MX2.4</v>
      </c>
      <c r="O56" s="5" t="s">
        <v>11</v>
      </c>
      <c r="P56" s="5" t="s">
        <v>11</v>
      </c>
      <c r="Q56" s="5" t="s">
        <v>11</v>
      </c>
      <c r="R56" s="7" t="s">
        <v>11</v>
      </c>
      <c r="S56" s="7" t="s">
        <v>12</v>
      </c>
      <c r="T56" t="str">
        <f t="shared" si="13"/>
        <v>axALM[]</v>
      </c>
      <c r="U56" t="s">
        <v>83</v>
      </c>
      <c r="V56" s="5" t="s">
        <v>11</v>
      </c>
      <c r="W56" s="12" t="b">
        <v>0</v>
      </c>
    </row>
    <row r="57" spans="1:23" ht="14.25" customHeight="1" x14ac:dyDescent="0.3">
      <c r="A57" s="5" t="s">
        <v>53</v>
      </c>
      <c r="B57" s="7" t="s">
        <v>60</v>
      </c>
      <c r="C57" s="9" t="s">
        <v>350</v>
      </c>
      <c r="D57" s="14" t="s">
        <v>199</v>
      </c>
      <c r="E57" s="6" t="s">
        <v>140</v>
      </c>
      <c r="F57" s="7" t="s">
        <v>10</v>
      </c>
      <c r="G57" s="5" t="s">
        <v>124</v>
      </c>
      <c r="H57" s="5" t="str">
        <f t="shared" si="10"/>
        <v>0x3025</v>
      </c>
      <c r="I57" s="7">
        <f t="shared" si="14"/>
        <v>12325</v>
      </c>
      <c r="J57" s="6" t="str">
        <f t="shared" si="12"/>
        <v>012326</v>
      </c>
      <c r="K57" s="6" t="s">
        <v>184</v>
      </c>
      <c r="L57" s="6" t="s">
        <v>221</v>
      </c>
      <c r="M57" s="6">
        <v>1</v>
      </c>
      <c r="N57" s="7" t="str">
        <f>_xlfn.CONCAT("%MX",INDEX('Mapping Sheet'!E:E,Table1[[#This Row],[Modbus Address]]-12287,1),".",INDEX('Mapping Sheet'!F:F,Table1[[#This Row],[Modbus Address]]-12287,1))</f>
        <v>%MX2.5</v>
      </c>
      <c r="O57" s="5" t="s">
        <v>11</v>
      </c>
      <c r="P57" s="5" t="s">
        <v>11</v>
      </c>
      <c r="Q57" s="5" t="s">
        <v>11</v>
      </c>
      <c r="R57" s="7" t="s">
        <v>11</v>
      </c>
      <c r="S57" s="7" t="s">
        <v>12</v>
      </c>
      <c r="T57" t="str">
        <f t="shared" si="13"/>
        <v>axALM[]</v>
      </c>
      <c r="U57" t="s">
        <v>83</v>
      </c>
      <c r="V57" s="5" t="s">
        <v>11</v>
      </c>
      <c r="W57" s="12" t="b">
        <v>0</v>
      </c>
    </row>
    <row r="58" spans="1:23" ht="14.25" customHeight="1" x14ac:dyDescent="0.3">
      <c r="A58" s="5" t="s">
        <v>53</v>
      </c>
      <c r="B58" s="7" t="s">
        <v>61</v>
      </c>
      <c r="C58" s="9" t="s">
        <v>351</v>
      </c>
      <c r="D58" s="14" t="s">
        <v>199</v>
      </c>
      <c r="E58" s="6" t="s">
        <v>140</v>
      </c>
      <c r="F58" s="7" t="s">
        <v>10</v>
      </c>
      <c r="G58" s="5" t="s">
        <v>124</v>
      </c>
      <c r="H58" s="5" t="str">
        <f t="shared" si="10"/>
        <v>0x3026</v>
      </c>
      <c r="I58" s="7">
        <f t="shared" si="14"/>
        <v>12326</v>
      </c>
      <c r="J58" s="6" t="str">
        <f t="shared" si="12"/>
        <v>012327</v>
      </c>
      <c r="K58" s="6" t="s">
        <v>184</v>
      </c>
      <c r="L58" s="6" t="s">
        <v>221</v>
      </c>
      <c r="M58" s="6">
        <v>1</v>
      </c>
      <c r="N58" s="7" t="str">
        <f>_xlfn.CONCAT("%MX",INDEX('Mapping Sheet'!E:E,Table1[[#This Row],[Modbus Address]]-12287,1),".",INDEX('Mapping Sheet'!F:F,Table1[[#This Row],[Modbus Address]]-12287,1))</f>
        <v>%MX2.6</v>
      </c>
      <c r="O58" s="5" t="s">
        <v>11</v>
      </c>
      <c r="P58" s="5" t="s">
        <v>11</v>
      </c>
      <c r="Q58" s="5" t="s">
        <v>11</v>
      </c>
      <c r="R58" s="7" t="s">
        <v>11</v>
      </c>
      <c r="S58" s="7" t="s">
        <v>12</v>
      </c>
      <c r="T58" t="str">
        <f t="shared" si="13"/>
        <v>axALM[]</v>
      </c>
      <c r="U58" t="s">
        <v>83</v>
      </c>
      <c r="V58" s="5" t="s">
        <v>11</v>
      </c>
      <c r="W58" s="12" t="b">
        <v>0</v>
      </c>
    </row>
    <row r="59" spans="1:23" ht="14.25" customHeight="1" x14ac:dyDescent="0.3">
      <c r="A59" s="5" t="s">
        <v>53</v>
      </c>
      <c r="B59" s="7" t="s">
        <v>62</v>
      </c>
      <c r="C59" s="7" t="s">
        <v>352</v>
      </c>
      <c r="D59" s="14" t="s">
        <v>206</v>
      </c>
      <c r="E59" s="6" t="s">
        <v>140</v>
      </c>
      <c r="F59" s="7" t="s">
        <v>10</v>
      </c>
      <c r="G59" s="5" t="s">
        <v>124</v>
      </c>
      <c r="H59" s="5" t="str">
        <f t="shared" si="10"/>
        <v>0x3027</v>
      </c>
      <c r="I59" s="7">
        <f t="shared" si="14"/>
        <v>12327</v>
      </c>
      <c r="J59" s="6" t="str">
        <f t="shared" si="12"/>
        <v>012328</v>
      </c>
      <c r="K59" s="6" t="s">
        <v>184</v>
      </c>
      <c r="L59" s="6" t="s">
        <v>221</v>
      </c>
      <c r="M59" s="6">
        <v>1</v>
      </c>
      <c r="N59" s="7" t="str">
        <f>_xlfn.CONCAT("%MX",INDEX('Mapping Sheet'!E:E,Table1[[#This Row],[Modbus Address]]-12287,1),".",INDEX('Mapping Sheet'!F:F,Table1[[#This Row],[Modbus Address]]-12287,1))</f>
        <v>%MX2.7</v>
      </c>
      <c r="O59" s="5" t="s">
        <v>11</v>
      </c>
      <c r="P59" s="5" t="s">
        <v>11</v>
      </c>
      <c r="Q59" s="5" t="s">
        <v>11</v>
      </c>
      <c r="R59" s="7" t="s">
        <v>11</v>
      </c>
      <c r="S59" s="7" t="s">
        <v>12</v>
      </c>
      <c r="T59" t="str">
        <f t="shared" si="13"/>
        <v>axALM[]</v>
      </c>
      <c r="U59" t="s">
        <v>83</v>
      </c>
      <c r="V59" s="5" t="s">
        <v>11</v>
      </c>
      <c r="W59" s="12" t="b">
        <v>0</v>
      </c>
    </row>
    <row r="60" spans="1:23" ht="14.25" customHeight="1" x14ac:dyDescent="0.3">
      <c r="A60" s="5" t="s">
        <v>53</v>
      </c>
      <c r="B60" s="7" t="s">
        <v>63</v>
      </c>
      <c r="C60" s="7" t="s">
        <v>353</v>
      </c>
      <c r="D60" s="14" t="s">
        <v>206</v>
      </c>
      <c r="E60" s="6" t="s">
        <v>140</v>
      </c>
      <c r="F60" s="7" t="s">
        <v>10</v>
      </c>
      <c r="G60" s="5" t="s">
        <v>124</v>
      </c>
      <c r="H60" s="5" t="str">
        <f t="shared" si="10"/>
        <v>0x3028</v>
      </c>
      <c r="I60" s="7">
        <f t="shared" si="14"/>
        <v>12328</v>
      </c>
      <c r="J60" s="6" t="str">
        <f t="shared" si="12"/>
        <v>012329</v>
      </c>
      <c r="K60" s="6" t="s">
        <v>184</v>
      </c>
      <c r="L60" s="6" t="s">
        <v>221</v>
      </c>
      <c r="M60" s="6">
        <v>1</v>
      </c>
      <c r="N60" s="7" t="str">
        <f>_xlfn.CONCAT("%MX",INDEX('Mapping Sheet'!E:E,Table1[[#This Row],[Modbus Address]]-12287,1),".",INDEX('Mapping Sheet'!F:F,Table1[[#This Row],[Modbus Address]]-12287,1))</f>
        <v>%MX2.8</v>
      </c>
      <c r="O60" s="5" t="s">
        <v>11</v>
      </c>
      <c r="P60" s="5" t="s">
        <v>11</v>
      </c>
      <c r="Q60" s="5" t="s">
        <v>11</v>
      </c>
      <c r="R60" s="7" t="s">
        <v>11</v>
      </c>
      <c r="S60" s="7" t="s">
        <v>12</v>
      </c>
      <c r="T60" t="str">
        <f t="shared" si="13"/>
        <v>axALM[]</v>
      </c>
      <c r="U60" t="s">
        <v>83</v>
      </c>
      <c r="V60" s="5" t="s">
        <v>11</v>
      </c>
      <c r="W60" s="12" t="b">
        <v>0</v>
      </c>
    </row>
    <row r="61" spans="1:23" ht="14.25" customHeight="1" x14ac:dyDescent="0.3">
      <c r="A61" s="5" t="s">
        <v>53</v>
      </c>
      <c r="B61" s="7" t="s">
        <v>64</v>
      </c>
      <c r="C61" s="7" t="s">
        <v>354</v>
      </c>
      <c r="D61" s="14" t="s">
        <v>198</v>
      </c>
      <c r="E61" s="6" t="s">
        <v>140</v>
      </c>
      <c r="F61" s="7" t="s">
        <v>10</v>
      </c>
      <c r="G61" s="5" t="s">
        <v>124</v>
      </c>
      <c r="H61" s="5" t="str">
        <f t="shared" si="10"/>
        <v>0x3029</v>
      </c>
      <c r="I61" s="7">
        <f t="shared" si="14"/>
        <v>12329</v>
      </c>
      <c r="J61" s="6" t="str">
        <f t="shared" si="12"/>
        <v>012330</v>
      </c>
      <c r="K61" s="6" t="s">
        <v>184</v>
      </c>
      <c r="L61" s="6" t="s">
        <v>221</v>
      </c>
      <c r="M61" s="6">
        <v>1</v>
      </c>
      <c r="N61" s="7" t="str">
        <f>_xlfn.CONCAT("%MX",INDEX('Mapping Sheet'!E:E,Table1[[#This Row],[Modbus Address]]-12287,1),".",INDEX('Mapping Sheet'!F:F,Table1[[#This Row],[Modbus Address]]-12287,1))</f>
        <v>%MX2.9</v>
      </c>
      <c r="O61" s="5" t="s">
        <v>11</v>
      </c>
      <c r="P61" s="5" t="s">
        <v>11</v>
      </c>
      <c r="Q61" s="5" t="s">
        <v>11</v>
      </c>
      <c r="R61" s="7" t="s">
        <v>11</v>
      </c>
      <c r="S61" s="7" t="s">
        <v>12</v>
      </c>
      <c r="T61" t="str">
        <f t="shared" si="13"/>
        <v>axALM[]</v>
      </c>
      <c r="U61" t="s">
        <v>83</v>
      </c>
      <c r="V61" s="5" t="s">
        <v>11</v>
      </c>
      <c r="W61" s="12" t="b">
        <v>0</v>
      </c>
    </row>
    <row r="62" spans="1:23" ht="14.25" customHeight="1" x14ac:dyDescent="0.3">
      <c r="A62" s="5" t="s">
        <v>53</v>
      </c>
      <c r="B62" s="7" t="s">
        <v>65</v>
      </c>
      <c r="C62" s="7" t="s">
        <v>355</v>
      </c>
      <c r="D62" s="14" t="s">
        <v>200</v>
      </c>
      <c r="E62" s="6" t="s">
        <v>140</v>
      </c>
      <c r="F62" s="7" t="s">
        <v>10</v>
      </c>
      <c r="G62" s="5" t="s">
        <v>124</v>
      </c>
      <c r="H62" s="5" t="str">
        <f t="shared" si="10"/>
        <v>0x302A</v>
      </c>
      <c r="I62" s="7">
        <f t="shared" si="14"/>
        <v>12330</v>
      </c>
      <c r="J62" s="6" t="str">
        <f t="shared" si="12"/>
        <v>012331</v>
      </c>
      <c r="K62" s="6" t="s">
        <v>184</v>
      </c>
      <c r="L62" s="6" t="s">
        <v>221</v>
      </c>
      <c r="M62" s="6">
        <v>1</v>
      </c>
      <c r="N62" s="7" t="str">
        <f>_xlfn.CONCAT("%MX",INDEX('Mapping Sheet'!E:E,Table1[[#This Row],[Modbus Address]]-12287,1),".",INDEX('Mapping Sheet'!F:F,Table1[[#This Row],[Modbus Address]]-12287,1))</f>
        <v>%MX2.10</v>
      </c>
      <c r="O62" s="5" t="s">
        <v>11</v>
      </c>
      <c r="P62" s="5" t="s">
        <v>11</v>
      </c>
      <c r="Q62" s="5" t="s">
        <v>11</v>
      </c>
      <c r="R62" s="7" t="s">
        <v>11</v>
      </c>
      <c r="S62" s="7" t="s">
        <v>12</v>
      </c>
      <c r="T62" t="str">
        <f t="shared" si="13"/>
        <v>axALM[]</v>
      </c>
      <c r="U62" t="s">
        <v>83</v>
      </c>
      <c r="V62" s="5" t="s">
        <v>11</v>
      </c>
      <c r="W62" s="12" t="b">
        <v>0</v>
      </c>
    </row>
    <row r="63" spans="1:23" ht="14.25" customHeight="1" x14ac:dyDescent="0.3">
      <c r="A63" s="5" t="s">
        <v>53</v>
      </c>
      <c r="B63" s="7" t="s">
        <v>66</v>
      </c>
      <c r="C63" s="7" t="s">
        <v>356</v>
      </c>
      <c r="D63" s="14" t="s">
        <v>202</v>
      </c>
      <c r="E63" s="6" t="s">
        <v>140</v>
      </c>
      <c r="F63" s="7" t="s">
        <v>10</v>
      </c>
      <c r="G63" s="5" t="s">
        <v>124</v>
      </c>
      <c r="H63" s="5" t="str">
        <f t="shared" si="10"/>
        <v>0x302B</v>
      </c>
      <c r="I63" s="7">
        <f t="shared" si="14"/>
        <v>12331</v>
      </c>
      <c r="J63" s="6" t="str">
        <f t="shared" si="12"/>
        <v>012332</v>
      </c>
      <c r="K63" s="6" t="s">
        <v>184</v>
      </c>
      <c r="L63" s="6" t="s">
        <v>221</v>
      </c>
      <c r="M63" s="6">
        <v>1</v>
      </c>
      <c r="N63" s="7" t="str">
        <f>_xlfn.CONCAT("%MX",INDEX('Mapping Sheet'!E:E,Table1[[#This Row],[Modbus Address]]-12287,1),".",INDEX('Mapping Sheet'!F:F,Table1[[#This Row],[Modbus Address]]-12287,1))</f>
        <v>%MX2.11</v>
      </c>
      <c r="O63" s="5" t="s">
        <v>11</v>
      </c>
      <c r="P63" s="5" t="s">
        <v>11</v>
      </c>
      <c r="Q63" s="5" t="s">
        <v>11</v>
      </c>
      <c r="R63" s="7" t="s">
        <v>11</v>
      </c>
      <c r="S63" s="7" t="s">
        <v>12</v>
      </c>
      <c r="T63" t="str">
        <f t="shared" si="13"/>
        <v>axALM[]</v>
      </c>
      <c r="U63" t="s">
        <v>83</v>
      </c>
      <c r="V63" s="5" t="s">
        <v>11</v>
      </c>
      <c r="W63" s="12" t="b">
        <v>0</v>
      </c>
    </row>
    <row r="64" spans="1:23" ht="14.25" customHeight="1" x14ac:dyDescent="0.3">
      <c r="A64" s="5" t="s">
        <v>53</v>
      </c>
      <c r="B64" s="7" t="s">
        <v>67</v>
      </c>
      <c r="C64" s="7" t="s">
        <v>357</v>
      </c>
      <c r="D64" s="14" t="s">
        <v>203</v>
      </c>
      <c r="E64" s="6" t="s">
        <v>140</v>
      </c>
      <c r="F64" s="7" t="s">
        <v>10</v>
      </c>
      <c r="G64" s="5" t="s">
        <v>124</v>
      </c>
      <c r="H64" s="5" t="str">
        <f t="shared" si="10"/>
        <v>0x302C</v>
      </c>
      <c r="I64" s="7">
        <f t="shared" si="14"/>
        <v>12332</v>
      </c>
      <c r="J64" s="6" t="str">
        <f t="shared" si="12"/>
        <v>012333</v>
      </c>
      <c r="K64" s="6" t="s">
        <v>184</v>
      </c>
      <c r="L64" s="6" t="s">
        <v>221</v>
      </c>
      <c r="M64" s="6">
        <v>1</v>
      </c>
      <c r="N64" s="7" t="str">
        <f>_xlfn.CONCAT("%MX",INDEX('Mapping Sheet'!E:E,Table1[[#This Row],[Modbus Address]]-12287,1),".",INDEX('Mapping Sheet'!F:F,Table1[[#This Row],[Modbus Address]]-12287,1))</f>
        <v>%MX2.12</v>
      </c>
      <c r="O64" s="5" t="s">
        <v>11</v>
      </c>
      <c r="P64" s="5" t="s">
        <v>11</v>
      </c>
      <c r="Q64" s="5" t="s">
        <v>11</v>
      </c>
      <c r="R64" s="7" t="s">
        <v>11</v>
      </c>
      <c r="S64" s="7" t="s">
        <v>12</v>
      </c>
      <c r="T64" t="str">
        <f t="shared" si="13"/>
        <v>axALM[]</v>
      </c>
      <c r="U64" t="s">
        <v>83</v>
      </c>
      <c r="V64" s="5" t="s">
        <v>11</v>
      </c>
      <c r="W64" s="12" t="b">
        <v>0</v>
      </c>
    </row>
    <row r="65" spans="1:23" ht="14.25" customHeight="1" x14ac:dyDescent="0.3">
      <c r="A65" s="5" t="s">
        <v>53</v>
      </c>
      <c r="B65" s="7" t="s">
        <v>68</v>
      </c>
      <c r="C65" s="7" t="s">
        <v>358</v>
      </c>
      <c r="D65" s="14" t="s">
        <v>203</v>
      </c>
      <c r="E65" s="6" t="s">
        <v>140</v>
      </c>
      <c r="F65" s="7" t="s">
        <v>10</v>
      </c>
      <c r="G65" s="5" t="s">
        <v>124</v>
      </c>
      <c r="H65" s="5" t="str">
        <f t="shared" si="10"/>
        <v>0x302D</v>
      </c>
      <c r="I65" s="7">
        <f t="shared" si="14"/>
        <v>12333</v>
      </c>
      <c r="J65" s="6" t="str">
        <f t="shared" si="12"/>
        <v>012334</v>
      </c>
      <c r="K65" s="6" t="s">
        <v>184</v>
      </c>
      <c r="L65" s="6" t="s">
        <v>221</v>
      </c>
      <c r="M65" s="6">
        <v>1</v>
      </c>
      <c r="N65" s="7" t="str">
        <f>_xlfn.CONCAT("%MX",INDEX('Mapping Sheet'!E:E,Table1[[#This Row],[Modbus Address]]-12287,1),".",INDEX('Mapping Sheet'!F:F,Table1[[#This Row],[Modbus Address]]-12287,1))</f>
        <v>%MX2.13</v>
      </c>
      <c r="O65" s="5" t="s">
        <v>11</v>
      </c>
      <c r="P65" s="5" t="s">
        <v>11</v>
      </c>
      <c r="Q65" s="5" t="s">
        <v>11</v>
      </c>
      <c r="R65" s="7" t="s">
        <v>11</v>
      </c>
      <c r="S65" s="7" t="s">
        <v>12</v>
      </c>
      <c r="T65" t="str">
        <f t="shared" si="13"/>
        <v>axALM[]</v>
      </c>
      <c r="U65" t="s">
        <v>83</v>
      </c>
      <c r="V65" s="5" t="s">
        <v>11</v>
      </c>
      <c r="W65" s="12" t="b">
        <v>0</v>
      </c>
    </row>
    <row r="66" spans="1:23" ht="14.25" customHeight="1" x14ac:dyDescent="0.3">
      <c r="A66" s="5" t="s">
        <v>53</v>
      </c>
      <c r="B66" s="7" t="s">
        <v>69</v>
      </c>
      <c r="C66" s="7" t="s">
        <v>359</v>
      </c>
      <c r="D66" s="14" t="s">
        <v>203</v>
      </c>
      <c r="E66" s="6" t="s">
        <v>140</v>
      </c>
      <c r="F66" s="7" t="s">
        <v>10</v>
      </c>
      <c r="G66" s="5" t="s">
        <v>124</v>
      </c>
      <c r="H66" s="5" t="str">
        <f t="shared" si="10"/>
        <v>0x302E</v>
      </c>
      <c r="I66" s="7">
        <f t="shared" si="14"/>
        <v>12334</v>
      </c>
      <c r="J66" s="6" t="str">
        <f t="shared" si="12"/>
        <v>012335</v>
      </c>
      <c r="K66" s="6" t="s">
        <v>184</v>
      </c>
      <c r="L66" s="6" t="s">
        <v>221</v>
      </c>
      <c r="M66" s="6">
        <v>1</v>
      </c>
      <c r="N66" s="7" t="str">
        <f>_xlfn.CONCAT("%MX",INDEX('Mapping Sheet'!E:E,Table1[[#This Row],[Modbus Address]]-12287,1),".",INDEX('Mapping Sheet'!F:F,Table1[[#This Row],[Modbus Address]]-12287,1))</f>
        <v>%MX2.14</v>
      </c>
      <c r="O66" s="5" t="s">
        <v>11</v>
      </c>
      <c r="P66" s="5" t="s">
        <v>11</v>
      </c>
      <c r="Q66" s="5" t="s">
        <v>11</v>
      </c>
      <c r="R66" s="7" t="s">
        <v>11</v>
      </c>
      <c r="S66" s="7" t="s">
        <v>12</v>
      </c>
      <c r="T66" t="str">
        <f t="shared" si="13"/>
        <v>axALM[]</v>
      </c>
      <c r="U66" t="s">
        <v>83</v>
      </c>
      <c r="V66" s="5" t="s">
        <v>11</v>
      </c>
      <c r="W66" s="12" t="b">
        <v>0</v>
      </c>
    </row>
    <row r="67" spans="1:23" ht="14.25" customHeight="1" x14ac:dyDescent="0.3">
      <c r="A67" s="5" t="s">
        <v>53</v>
      </c>
      <c r="B67" s="7" t="s">
        <v>70</v>
      </c>
      <c r="C67" s="9" t="s">
        <v>360</v>
      </c>
      <c r="D67" s="14" t="s">
        <v>199</v>
      </c>
      <c r="E67" s="6" t="s">
        <v>140</v>
      </c>
      <c r="F67" s="7" t="s">
        <v>10</v>
      </c>
      <c r="G67" s="5" t="s">
        <v>124</v>
      </c>
      <c r="H67" s="5" t="str">
        <f t="shared" ref="H67:H76" si="15">_xlfn.CONCAT("0x",DEC2HEX(I67))</f>
        <v>0x302F</v>
      </c>
      <c r="I67" s="7">
        <f t="shared" si="14"/>
        <v>12335</v>
      </c>
      <c r="J67" s="6" t="str">
        <f t="shared" si="12"/>
        <v>012336</v>
      </c>
      <c r="K67" s="6" t="s">
        <v>184</v>
      </c>
      <c r="L67" s="6" t="s">
        <v>221</v>
      </c>
      <c r="M67" s="6">
        <v>1</v>
      </c>
      <c r="N67" s="7" t="str">
        <f>_xlfn.CONCAT("%MX",INDEX('Mapping Sheet'!E:E,Table1[[#This Row],[Modbus Address]]-12287,1),".",INDEX('Mapping Sheet'!F:F,Table1[[#This Row],[Modbus Address]]-12287,1))</f>
        <v>%MX2.15</v>
      </c>
      <c r="O67" s="5" t="s">
        <v>11</v>
      </c>
      <c r="P67" s="5" t="s">
        <v>11</v>
      </c>
      <c r="Q67" s="5" t="s">
        <v>11</v>
      </c>
      <c r="R67" s="7" t="s">
        <v>11</v>
      </c>
      <c r="S67" s="7" t="s">
        <v>12</v>
      </c>
      <c r="T67" t="str">
        <f t="shared" si="13"/>
        <v>axALM[]</v>
      </c>
      <c r="U67" t="s">
        <v>83</v>
      </c>
      <c r="V67" s="5" t="s">
        <v>11</v>
      </c>
      <c r="W67" s="12" t="b">
        <v>0</v>
      </c>
    </row>
    <row r="68" spans="1:23" ht="14.25" customHeight="1" x14ac:dyDescent="0.3">
      <c r="A68" s="5" t="s">
        <v>71</v>
      </c>
      <c r="B68" s="7" t="s">
        <v>72</v>
      </c>
      <c r="C68" s="7" t="s">
        <v>361</v>
      </c>
      <c r="D68" s="14" t="s">
        <v>203</v>
      </c>
      <c r="E68" s="6" t="s">
        <v>140</v>
      </c>
      <c r="F68" s="7" t="s">
        <v>10</v>
      </c>
      <c r="G68" s="5" t="s">
        <v>124</v>
      </c>
      <c r="H68" s="5" t="str">
        <f t="shared" si="15"/>
        <v>0x3030</v>
      </c>
      <c r="I68" s="7">
        <f t="shared" si="14"/>
        <v>12336</v>
      </c>
      <c r="J68" s="6" t="str">
        <f t="shared" si="12"/>
        <v>012337</v>
      </c>
      <c r="K68" s="6" t="s">
        <v>184</v>
      </c>
      <c r="L68" s="6" t="s">
        <v>221</v>
      </c>
      <c r="M68" s="6">
        <v>1</v>
      </c>
      <c r="N68" s="7" t="str">
        <f>_xlfn.CONCAT("%MX",INDEX('Mapping Sheet'!E:E,Table1[[#This Row],[Modbus Address]]-12287,1),".",INDEX('Mapping Sheet'!F:F,Table1[[#This Row],[Modbus Address]]-12287,1))</f>
        <v>%MX3.0</v>
      </c>
      <c r="O68" s="5" t="s">
        <v>11</v>
      </c>
      <c r="P68" s="5" t="s">
        <v>11</v>
      </c>
      <c r="Q68" s="5" t="s">
        <v>11</v>
      </c>
      <c r="R68" s="7" t="s">
        <v>11</v>
      </c>
      <c r="S68" s="7" t="s">
        <v>12</v>
      </c>
      <c r="T68" s="5" t="str">
        <f t="shared" ref="T68:T76" si="16">_xlfn.CONCAT("axFLT[",AB1,"]")</f>
        <v>axFLT[]</v>
      </c>
      <c r="U68" t="s">
        <v>83</v>
      </c>
      <c r="V68" s="5" t="s">
        <v>11</v>
      </c>
      <c r="W68" s="12" t="b">
        <v>0</v>
      </c>
    </row>
    <row r="69" spans="1:23" ht="14.25" customHeight="1" x14ac:dyDescent="0.3">
      <c r="A69" s="5" t="s">
        <v>71</v>
      </c>
      <c r="B69" s="7" t="s">
        <v>73</v>
      </c>
      <c r="C69" s="7" t="s">
        <v>362</v>
      </c>
      <c r="D69" s="14" t="s">
        <v>205</v>
      </c>
      <c r="E69" s="6" t="s">
        <v>140</v>
      </c>
      <c r="F69" s="7" t="s">
        <v>10</v>
      </c>
      <c r="G69" s="5" t="s">
        <v>124</v>
      </c>
      <c r="H69" s="5" t="str">
        <f t="shared" si="15"/>
        <v>0x3031</v>
      </c>
      <c r="I69" s="7">
        <f t="shared" si="14"/>
        <v>12337</v>
      </c>
      <c r="J69" s="6" t="str">
        <f t="shared" si="12"/>
        <v>012338</v>
      </c>
      <c r="K69" s="6" t="s">
        <v>184</v>
      </c>
      <c r="L69" s="6" t="s">
        <v>221</v>
      </c>
      <c r="M69" s="6">
        <v>1</v>
      </c>
      <c r="N69" s="7" t="str">
        <f>_xlfn.CONCAT("%MX",INDEX('Mapping Sheet'!E:E,Table1[[#This Row],[Modbus Address]]-12287,1),".",INDEX('Mapping Sheet'!F:F,Table1[[#This Row],[Modbus Address]]-12287,1))</f>
        <v>%MX3.1</v>
      </c>
      <c r="O69" s="5" t="s">
        <v>11</v>
      </c>
      <c r="P69" s="5" t="s">
        <v>11</v>
      </c>
      <c r="Q69" s="5" t="s">
        <v>11</v>
      </c>
      <c r="R69" s="7" t="s">
        <v>11</v>
      </c>
      <c r="S69" s="7" t="s">
        <v>12</v>
      </c>
      <c r="T69" s="5" t="str">
        <f t="shared" si="16"/>
        <v>axFLT[]</v>
      </c>
      <c r="U69" t="s">
        <v>83</v>
      </c>
      <c r="V69" s="5" t="s">
        <v>11</v>
      </c>
      <c r="W69" s="12" t="b">
        <v>0</v>
      </c>
    </row>
    <row r="70" spans="1:23" ht="14.25" customHeight="1" x14ac:dyDescent="0.3">
      <c r="A70" s="5" t="s">
        <v>71</v>
      </c>
      <c r="B70" s="7" t="s">
        <v>74</v>
      </c>
      <c r="C70" s="7" t="s">
        <v>363</v>
      </c>
      <c r="D70" s="14" t="s">
        <v>201</v>
      </c>
      <c r="E70" s="6" t="s">
        <v>140</v>
      </c>
      <c r="F70" s="7" t="s">
        <v>10</v>
      </c>
      <c r="G70" s="5" t="s">
        <v>124</v>
      </c>
      <c r="H70" s="5" t="str">
        <f t="shared" si="15"/>
        <v>0x3032</v>
      </c>
      <c r="I70" s="7">
        <f t="shared" si="14"/>
        <v>12338</v>
      </c>
      <c r="J70" s="6" t="str">
        <f t="shared" si="12"/>
        <v>012339</v>
      </c>
      <c r="K70" s="6" t="s">
        <v>184</v>
      </c>
      <c r="L70" s="6" t="s">
        <v>221</v>
      </c>
      <c r="M70" s="6">
        <v>1</v>
      </c>
      <c r="N70" s="7" t="str">
        <f>_xlfn.CONCAT("%MX",INDEX('Mapping Sheet'!E:E,Table1[[#This Row],[Modbus Address]]-12287,1),".",INDEX('Mapping Sheet'!F:F,Table1[[#This Row],[Modbus Address]]-12287,1))</f>
        <v>%MX3.2</v>
      </c>
      <c r="O70" s="5" t="s">
        <v>11</v>
      </c>
      <c r="P70" s="5" t="s">
        <v>11</v>
      </c>
      <c r="Q70" s="5" t="s">
        <v>11</v>
      </c>
      <c r="R70" s="7" t="s">
        <v>11</v>
      </c>
      <c r="S70" s="7" t="s">
        <v>12</v>
      </c>
      <c r="T70" s="5" t="str">
        <f t="shared" si="16"/>
        <v>axFLT[]</v>
      </c>
      <c r="U70" t="s">
        <v>83</v>
      </c>
      <c r="V70" s="5" t="s">
        <v>11</v>
      </c>
      <c r="W70" s="12" t="b">
        <v>0</v>
      </c>
    </row>
    <row r="71" spans="1:23" ht="14.25" customHeight="1" x14ac:dyDescent="0.3">
      <c r="A71" s="5" t="s">
        <v>71</v>
      </c>
      <c r="B71" s="7" t="s">
        <v>75</v>
      </c>
      <c r="C71" s="7" t="s">
        <v>364</v>
      </c>
      <c r="D71" s="14" t="s">
        <v>205</v>
      </c>
      <c r="E71" s="6" t="s">
        <v>140</v>
      </c>
      <c r="F71" s="7" t="s">
        <v>10</v>
      </c>
      <c r="G71" s="5" t="s">
        <v>124</v>
      </c>
      <c r="H71" s="5" t="str">
        <f t="shared" si="15"/>
        <v>0x3033</v>
      </c>
      <c r="I71" s="7">
        <f t="shared" si="14"/>
        <v>12339</v>
      </c>
      <c r="J71" s="6" t="str">
        <f t="shared" si="12"/>
        <v>012340</v>
      </c>
      <c r="K71" s="6" t="s">
        <v>184</v>
      </c>
      <c r="L71" s="6" t="s">
        <v>221</v>
      </c>
      <c r="M71" s="6">
        <v>1</v>
      </c>
      <c r="N71" s="7" t="str">
        <f>_xlfn.CONCAT("%MX",INDEX('Mapping Sheet'!E:E,Table1[[#This Row],[Modbus Address]]-12287,1),".",INDEX('Mapping Sheet'!F:F,Table1[[#This Row],[Modbus Address]]-12287,1))</f>
        <v>%MX3.3</v>
      </c>
      <c r="O71" s="5" t="s">
        <v>11</v>
      </c>
      <c r="P71" s="5" t="s">
        <v>11</v>
      </c>
      <c r="Q71" s="5" t="s">
        <v>11</v>
      </c>
      <c r="R71" s="7" t="s">
        <v>11</v>
      </c>
      <c r="S71" s="7" t="s">
        <v>12</v>
      </c>
      <c r="T71" s="5" t="str">
        <f t="shared" si="16"/>
        <v>axFLT[]</v>
      </c>
      <c r="U71" t="s">
        <v>83</v>
      </c>
      <c r="V71" s="5" t="s">
        <v>11</v>
      </c>
      <c r="W71" s="12" t="b">
        <v>0</v>
      </c>
    </row>
    <row r="72" spans="1:23" ht="14.25" customHeight="1" x14ac:dyDescent="0.3">
      <c r="A72" s="5" t="s">
        <v>71</v>
      </c>
      <c r="B72" s="7" t="s">
        <v>76</v>
      </c>
      <c r="C72" s="7" t="s">
        <v>365</v>
      </c>
      <c r="D72" s="14" t="s">
        <v>201</v>
      </c>
      <c r="E72" s="6" t="s">
        <v>140</v>
      </c>
      <c r="F72" s="7" t="s">
        <v>10</v>
      </c>
      <c r="G72" s="5" t="s">
        <v>124</v>
      </c>
      <c r="H72" s="5" t="str">
        <f t="shared" si="15"/>
        <v>0x3034</v>
      </c>
      <c r="I72" s="7">
        <f t="shared" si="14"/>
        <v>12340</v>
      </c>
      <c r="J72" s="6" t="str">
        <f t="shared" si="12"/>
        <v>012341</v>
      </c>
      <c r="K72" s="6" t="s">
        <v>184</v>
      </c>
      <c r="L72" s="6" t="s">
        <v>221</v>
      </c>
      <c r="M72" s="6">
        <v>1</v>
      </c>
      <c r="N72" s="7" t="str">
        <f>_xlfn.CONCAT("%MX",INDEX('Mapping Sheet'!E:E,Table1[[#This Row],[Modbus Address]]-12287,1),".",INDEX('Mapping Sheet'!F:F,Table1[[#This Row],[Modbus Address]]-12287,1))</f>
        <v>%MX3.4</v>
      </c>
      <c r="O72" s="5" t="s">
        <v>11</v>
      </c>
      <c r="P72" s="5" t="s">
        <v>11</v>
      </c>
      <c r="Q72" s="5" t="s">
        <v>11</v>
      </c>
      <c r="R72" s="7" t="s">
        <v>11</v>
      </c>
      <c r="S72" s="7" t="s">
        <v>12</v>
      </c>
      <c r="T72" s="5" t="str">
        <f t="shared" si="16"/>
        <v>axFLT[]</v>
      </c>
      <c r="U72" t="s">
        <v>83</v>
      </c>
      <c r="V72" s="5" t="s">
        <v>11</v>
      </c>
      <c r="W72" s="12" t="b">
        <v>0</v>
      </c>
    </row>
    <row r="73" spans="1:23" ht="14.25" customHeight="1" x14ac:dyDescent="0.3">
      <c r="A73" s="5" t="s">
        <v>71</v>
      </c>
      <c r="B73" s="7" t="s">
        <v>77</v>
      </c>
      <c r="C73" s="9" t="s">
        <v>366</v>
      </c>
      <c r="D73" s="14" t="s">
        <v>199</v>
      </c>
      <c r="E73" s="6" t="s">
        <v>140</v>
      </c>
      <c r="F73" s="7" t="s">
        <v>10</v>
      </c>
      <c r="G73" s="5" t="s">
        <v>124</v>
      </c>
      <c r="H73" s="5" t="str">
        <f t="shared" si="15"/>
        <v>0x3035</v>
      </c>
      <c r="I73" s="7">
        <f t="shared" si="14"/>
        <v>12341</v>
      </c>
      <c r="J73" s="6" t="str">
        <f t="shared" si="12"/>
        <v>012342</v>
      </c>
      <c r="K73" s="6" t="s">
        <v>184</v>
      </c>
      <c r="L73" s="6" t="s">
        <v>221</v>
      </c>
      <c r="M73" s="6">
        <v>1</v>
      </c>
      <c r="N73" s="7" t="str">
        <f>_xlfn.CONCAT("%MX",INDEX('Mapping Sheet'!E:E,Table1[[#This Row],[Modbus Address]]-12287,1),".",INDEX('Mapping Sheet'!F:F,Table1[[#This Row],[Modbus Address]]-12287,1))</f>
        <v>%MX3.5</v>
      </c>
      <c r="O73" s="5" t="s">
        <v>11</v>
      </c>
      <c r="P73" s="5" t="s">
        <v>11</v>
      </c>
      <c r="Q73" s="5" t="s">
        <v>11</v>
      </c>
      <c r="R73" s="7" t="s">
        <v>11</v>
      </c>
      <c r="S73" s="7" t="s">
        <v>12</v>
      </c>
      <c r="T73" s="5" t="str">
        <f t="shared" si="16"/>
        <v>axFLT[]</v>
      </c>
      <c r="U73" t="s">
        <v>83</v>
      </c>
      <c r="V73" s="5" t="s">
        <v>11</v>
      </c>
      <c r="W73" s="12" t="b">
        <v>0</v>
      </c>
    </row>
    <row r="74" spans="1:23" ht="14.25" customHeight="1" x14ac:dyDescent="0.3">
      <c r="A74" s="5" t="s">
        <v>71</v>
      </c>
      <c r="B74" s="7" t="s">
        <v>78</v>
      </c>
      <c r="C74" s="13" t="s">
        <v>367</v>
      </c>
      <c r="D74" s="14" t="s">
        <v>203</v>
      </c>
      <c r="E74" s="6" t="s">
        <v>140</v>
      </c>
      <c r="F74" s="7" t="s">
        <v>10</v>
      </c>
      <c r="G74" s="5" t="s">
        <v>124</v>
      </c>
      <c r="H74" s="5" t="str">
        <f t="shared" si="15"/>
        <v>0x3036</v>
      </c>
      <c r="I74" s="7">
        <f t="shared" si="14"/>
        <v>12342</v>
      </c>
      <c r="J74" s="6" t="str">
        <f t="shared" si="12"/>
        <v>012343</v>
      </c>
      <c r="K74" s="6" t="s">
        <v>184</v>
      </c>
      <c r="L74" s="6" t="s">
        <v>221</v>
      </c>
      <c r="M74" s="6">
        <v>1</v>
      </c>
      <c r="N74" s="7" t="str">
        <f>_xlfn.CONCAT("%MX",INDEX('Mapping Sheet'!E:E,Table1[[#This Row],[Modbus Address]]-12287,1),".",INDEX('Mapping Sheet'!F:F,Table1[[#This Row],[Modbus Address]]-12287,1))</f>
        <v>%MX3.6</v>
      </c>
      <c r="O74" s="5" t="s">
        <v>11</v>
      </c>
      <c r="P74" s="5" t="s">
        <v>11</v>
      </c>
      <c r="Q74" s="5" t="s">
        <v>11</v>
      </c>
      <c r="R74" s="7" t="s">
        <v>11</v>
      </c>
      <c r="S74" s="7" t="s">
        <v>12</v>
      </c>
      <c r="T74" s="5" t="str">
        <f t="shared" si="16"/>
        <v>axFLT[]</v>
      </c>
      <c r="U74" t="s">
        <v>83</v>
      </c>
      <c r="V74" s="5" t="s">
        <v>11</v>
      </c>
      <c r="W74" s="12" t="b">
        <v>0</v>
      </c>
    </row>
    <row r="75" spans="1:23" ht="14.25" customHeight="1" x14ac:dyDescent="0.3">
      <c r="A75" s="5" t="s">
        <v>71</v>
      </c>
      <c r="B75" s="7" t="s">
        <v>79</v>
      </c>
      <c r="C75" s="9" t="s">
        <v>368</v>
      </c>
      <c r="D75" s="14" t="s">
        <v>198</v>
      </c>
      <c r="E75" s="6" t="s">
        <v>140</v>
      </c>
      <c r="F75" s="7" t="s">
        <v>10</v>
      </c>
      <c r="G75" s="5" t="s">
        <v>124</v>
      </c>
      <c r="H75" s="5" t="str">
        <f t="shared" si="15"/>
        <v>0x3037</v>
      </c>
      <c r="I75" s="7">
        <f t="shared" si="14"/>
        <v>12343</v>
      </c>
      <c r="J75" s="6" t="str">
        <f t="shared" si="12"/>
        <v>012344</v>
      </c>
      <c r="K75" s="6" t="s">
        <v>184</v>
      </c>
      <c r="L75" s="6" t="s">
        <v>221</v>
      </c>
      <c r="M75" s="6">
        <v>1</v>
      </c>
      <c r="N75" s="7" t="str">
        <f>_xlfn.CONCAT("%MX",INDEX('Mapping Sheet'!E:E,Table1[[#This Row],[Modbus Address]]-12287,1),".",INDEX('Mapping Sheet'!F:F,Table1[[#This Row],[Modbus Address]]-12287,1))</f>
        <v>%MX3.7</v>
      </c>
      <c r="O75" s="5" t="s">
        <v>11</v>
      </c>
      <c r="P75" s="5" t="s">
        <v>11</v>
      </c>
      <c r="Q75" s="5" t="s">
        <v>11</v>
      </c>
      <c r="R75" s="5" t="s">
        <v>11</v>
      </c>
      <c r="S75" s="5" t="s">
        <v>12</v>
      </c>
      <c r="T75" s="5" t="str">
        <f t="shared" si="16"/>
        <v>axFLT[]</v>
      </c>
      <c r="U75" t="s">
        <v>83</v>
      </c>
      <c r="V75" s="5" t="s">
        <v>11</v>
      </c>
      <c r="W75" s="12" t="b">
        <v>0</v>
      </c>
    </row>
    <row r="76" spans="1:23" ht="14.25" customHeight="1" x14ac:dyDescent="0.3">
      <c r="A76" s="5" t="s">
        <v>71</v>
      </c>
      <c r="B76" s="5" t="s">
        <v>123</v>
      </c>
      <c r="C76" s="5" t="s">
        <v>369</v>
      </c>
      <c r="D76" s="14" t="s">
        <v>197</v>
      </c>
      <c r="E76" s="6" t="s">
        <v>140</v>
      </c>
      <c r="F76" s="5" t="s">
        <v>10</v>
      </c>
      <c r="G76" s="5" t="s">
        <v>124</v>
      </c>
      <c r="H76" s="5" t="str">
        <f t="shared" si="15"/>
        <v>0x3038</v>
      </c>
      <c r="I76" s="7">
        <f t="shared" si="14"/>
        <v>12344</v>
      </c>
      <c r="J76" s="6" t="str">
        <f t="shared" si="12"/>
        <v>012345</v>
      </c>
      <c r="K76" s="6" t="s">
        <v>184</v>
      </c>
      <c r="L76" s="6" t="s">
        <v>221</v>
      </c>
      <c r="M76" s="6">
        <v>1</v>
      </c>
      <c r="N76" s="7" t="str">
        <f>_xlfn.CONCAT("%MX",INDEX('Mapping Sheet'!E:E,Table1[[#This Row],[Modbus Address]]-12287,1),".",INDEX('Mapping Sheet'!F:F,Table1[[#This Row],[Modbus Address]]-12287,1))</f>
        <v>%MX3.8</v>
      </c>
      <c r="O76" s="5" t="s">
        <v>11</v>
      </c>
      <c r="P76" s="5" t="s">
        <v>11</v>
      </c>
      <c r="Q76" s="5" t="s">
        <v>11</v>
      </c>
      <c r="R76" s="5" t="s">
        <v>11</v>
      </c>
      <c r="S76" s="5" t="s">
        <v>12</v>
      </c>
      <c r="T76" s="5" t="str">
        <f t="shared" si="16"/>
        <v>axFLT[]</v>
      </c>
      <c r="U76" t="s">
        <v>83</v>
      </c>
      <c r="V76" s="5" t="s">
        <v>11</v>
      </c>
      <c r="W76" s="12" t="b">
        <v>0</v>
      </c>
    </row>
    <row r="77" spans="1:23" ht="14.25" customHeight="1" x14ac:dyDescent="0.3">
      <c r="A77" s="5" t="s">
        <v>80</v>
      </c>
      <c r="B77" s="7" t="s">
        <v>81</v>
      </c>
      <c r="C77" s="9" t="s">
        <v>370</v>
      </c>
      <c r="D77" s="14" t="s">
        <v>201</v>
      </c>
      <c r="E77" s="6" t="s">
        <v>140</v>
      </c>
      <c r="F77" s="7" t="s">
        <v>82</v>
      </c>
      <c r="G77" s="5" t="s">
        <v>127</v>
      </c>
      <c r="H77" s="5" t="s">
        <v>119</v>
      </c>
      <c r="I77" s="5" t="s">
        <v>119</v>
      </c>
      <c r="J77" s="5" t="s">
        <v>119</v>
      </c>
      <c r="K77" s="8" t="s">
        <v>11</v>
      </c>
      <c r="L77" s="8"/>
      <c r="M77" s="5">
        <v>16</v>
      </c>
      <c r="N77" s="5" t="s">
        <v>142</v>
      </c>
      <c r="O77">
        <v>8</v>
      </c>
      <c r="P77" s="5" t="s">
        <v>143</v>
      </c>
      <c r="Q77">
        <v>1</v>
      </c>
      <c r="R77" s="5" t="s">
        <v>118</v>
      </c>
      <c r="S77" s="7" t="s">
        <v>83</v>
      </c>
      <c r="T77" s="5" t="s">
        <v>177</v>
      </c>
      <c r="U77" s="5" t="s">
        <v>12</v>
      </c>
      <c r="V77" s="5" t="s">
        <v>11</v>
      </c>
      <c r="W77" s="12" t="b">
        <v>0</v>
      </c>
    </row>
    <row r="78" spans="1:23" ht="14.25" customHeight="1" x14ac:dyDescent="0.3">
      <c r="A78" s="5" t="s">
        <v>80</v>
      </c>
      <c r="B78" s="7" t="s">
        <v>84</v>
      </c>
      <c r="C78" s="7" t="s">
        <v>371</v>
      </c>
      <c r="D78" s="14" t="s">
        <v>203</v>
      </c>
      <c r="E78" s="6" t="s">
        <v>140</v>
      </c>
      <c r="F78" s="7" t="s">
        <v>85</v>
      </c>
      <c r="G78" s="5" t="s">
        <v>127</v>
      </c>
      <c r="H78" s="5" t="s">
        <v>119</v>
      </c>
      <c r="I78" s="5" t="s">
        <v>119</v>
      </c>
      <c r="J78" s="5" t="s">
        <v>119</v>
      </c>
      <c r="K78" s="8" t="s">
        <v>11</v>
      </c>
      <c r="L78" s="8"/>
      <c r="M78" s="5">
        <v>16</v>
      </c>
      <c r="N78" s="5" t="s">
        <v>128</v>
      </c>
      <c r="O78" s="5">
        <v>9</v>
      </c>
      <c r="P78" s="5" t="s">
        <v>138</v>
      </c>
      <c r="Q78" s="5">
        <v>1</v>
      </c>
      <c r="R78" s="5" t="s">
        <v>118</v>
      </c>
      <c r="S78" s="7" t="s">
        <v>83</v>
      </c>
      <c r="T78" s="5" t="s">
        <v>178</v>
      </c>
      <c r="U78" s="5" t="s">
        <v>12</v>
      </c>
      <c r="V78" s="5" t="s">
        <v>11</v>
      </c>
      <c r="W78" s="12" t="b">
        <v>0</v>
      </c>
    </row>
    <row r="79" spans="1:23" ht="14.25" customHeight="1" x14ac:dyDescent="0.3">
      <c r="A79" s="5" t="s">
        <v>80</v>
      </c>
      <c r="B79" s="7" t="s">
        <v>86</v>
      </c>
      <c r="C79" s="7" t="s">
        <v>372</v>
      </c>
      <c r="D79" s="14" t="s">
        <v>203</v>
      </c>
      <c r="E79" s="6" t="s">
        <v>140</v>
      </c>
      <c r="F79" s="7" t="s">
        <v>85</v>
      </c>
      <c r="G79" s="5" t="s">
        <v>127</v>
      </c>
      <c r="H79" s="5" t="s">
        <v>119</v>
      </c>
      <c r="I79" s="5" t="s">
        <v>119</v>
      </c>
      <c r="J79" s="5" t="s">
        <v>119</v>
      </c>
      <c r="K79" s="8" t="s">
        <v>11</v>
      </c>
      <c r="L79" s="8"/>
      <c r="M79" s="5">
        <v>16</v>
      </c>
      <c r="N79" s="5" t="s">
        <v>129</v>
      </c>
      <c r="O79" s="5">
        <v>9</v>
      </c>
      <c r="P79" s="5" t="s">
        <v>138</v>
      </c>
      <c r="Q79" s="5">
        <v>2</v>
      </c>
      <c r="R79" s="5" t="s">
        <v>118</v>
      </c>
      <c r="S79" s="7" t="s">
        <v>83</v>
      </c>
      <c r="T79" s="5" t="s">
        <v>179</v>
      </c>
      <c r="U79" s="5" t="s">
        <v>12</v>
      </c>
      <c r="V79" s="5" t="s">
        <v>11</v>
      </c>
      <c r="W79" s="12" t="b">
        <v>0</v>
      </c>
    </row>
    <row r="80" spans="1:23" ht="13.8" customHeight="1" x14ac:dyDescent="0.3">
      <c r="A80" s="5" t="s">
        <v>80</v>
      </c>
      <c r="B80" s="7" t="s">
        <v>87</v>
      </c>
      <c r="C80" s="7" t="s">
        <v>373</v>
      </c>
      <c r="D80" s="14" t="s">
        <v>203</v>
      </c>
      <c r="E80" s="6" t="s">
        <v>140</v>
      </c>
      <c r="F80" s="7" t="s">
        <v>85</v>
      </c>
      <c r="G80" s="5" t="s">
        <v>127</v>
      </c>
      <c r="H80" s="5" t="s">
        <v>119</v>
      </c>
      <c r="I80" s="5" t="s">
        <v>119</v>
      </c>
      <c r="J80" s="5" t="s">
        <v>119</v>
      </c>
      <c r="K80" s="8" t="s">
        <v>11</v>
      </c>
      <c r="L80" s="8"/>
      <c r="M80" s="5">
        <v>16</v>
      </c>
      <c r="N80" s="5" t="s">
        <v>130</v>
      </c>
      <c r="O80">
        <v>10</v>
      </c>
      <c r="P80" s="5" t="s">
        <v>138</v>
      </c>
      <c r="Q80">
        <v>1</v>
      </c>
      <c r="R80" s="5" t="s">
        <v>118</v>
      </c>
      <c r="S80" s="7" t="s">
        <v>83</v>
      </c>
      <c r="T80" s="5" t="s">
        <v>180</v>
      </c>
      <c r="U80" s="5" t="s">
        <v>12</v>
      </c>
      <c r="V80" s="5" t="s">
        <v>11</v>
      </c>
      <c r="W80" s="12" t="b">
        <v>0</v>
      </c>
    </row>
    <row r="81" spans="1:23" ht="13.8" customHeight="1" x14ac:dyDescent="0.3">
      <c r="A81" s="5" t="s">
        <v>80</v>
      </c>
      <c r="B81" s="7" t="s">
        <v>88</v>
      </c>
      <c r="C81" s="7" t="s">
        <v>193</v>
      </c>
      <c r="D81" s="7"/>
      <c r="E81" s="5" t="s">
        <v>141</v>
      </c>
      <c r="F81" s="7" t="s">
        <v>82</v>
      </c>
      <c r="G81" s="5" t="s">
        <v>127</v>
      </c>
      <c r="H81" s="5" t="s">
        <v>119</v>
      </c>
      <c r="I81" s="5" t="s">
        <v>119</v>
      </c>
      <c r="J81" s="5" t="s">
        <v>119</v>
      </c>
      <c r="K81" s="8" t="s">
        <v>11</v>
      </c>
      <c r="L81" s="8"/>
      <c r="M81" s="5">
        <v>16</v>
      </c>
      <c r="R81" s="5" t="s">
        <v>118</v>
      </c>
      <c r="S81" s="7" t="s">
        <v>83</v>
      </c>
      <c r="U81" s="5" t="s">
        <v>12</v>
      </c>
      <c r="V81" s="5" t="s">
        <v>11</v>
      </c>
      <c r="W81" s="12" t="b">
        <v>0</v>
      </c>
    </row>
    <row r="82" spans="1:23" ht="14.25" customHeight="1" x14ac:dyDescent="0.3">
      <c r="A82" s="5" t="s">
        <v>80</v>
      </c>
      <c r="B82" s="7" t="s">
        <v>89</v>
      </c>
      <c r="C82" s="7" t="s">
        <v>193</v>
      </c>
      <c r="D82" s="7"/>
      <c r="E82" s="5" t="s">
        <v>141</v>
      </c>
      <c r="F82" s="7" t="s">
        <v>82</v>
      </c>
      <c r="G82" s="5" t="s">
        <v>127</v>
      </c>
      <c r="H82" s="5" t="s">
        <v>119</v>
      </c>
      <c r="I82" s="5" t="s">
        <v>119</v>
      </c>
      <c r="J82" s="5" t="s">
        <v>119</v>
      </c>
      <c r="K82" s="8" t="s">
        <v>11</v>
      </c>
      <c r="L82" s="8"/>
      <c r="M82" s="5">
        <v>16</v>
      </c>
      <c r="R82" s="5" t="s">
        <v>118</v>
      </c>
      <c r="S82" s="7" t="s">
        <v>83</v>
      </c>
      <c r="U82" s="5" t="s">
        <v>12</v>
      </c>
      <c r="V82" s="5" t="s">
        <v>11</v>
      </c>
      <c r="W82" s="12" t="b">
        <v>0</v>
      </c>
    </row>
    <row r="83" spans="1:23" ht="14.25" customHeight="1" x14ac:dyDescent="0.3">
      <c r="A83" s="5" t="s">
        <v>80</v>
      </c>
      <c r="B83" s="7" t="s">
        <v>90</v>
      </c>
      <c r="C83" s="9" t="s">
        <v>374</v>
      </c>
      <c r="D83" s="14" t="s">
        <v>202</v>
      </c>
      <c r="E83" s="6" t="s">
        <v>140</v>
      </c>
      <c r="F83" s="7" t="s">
        <v>82</v>
      </c>
      <c r="G83" s="5" t="s">
        <v>127</v>
      </c>
      <c r="H83" s="5" t="s">
        <v>119</v>
      </c>
      <c r="I83" s="5" t="s">
        <v>119</v>
      </c>
      <c r="J83" s="5" t="s">
        <v>119</v>
      </c>
      <c r="K83" s="8" t="s">
        <v>11</v>
      </c>
      <c r="L83" s="8"/>
      <c r="M83" s="5">
        <v>16</v>
      </c>
      <c r="N83" s="5" t="s">
        <v>144</v>
      </c>
      <c r="O83">
        <v>8</v>
      </c>
      <c r="P83" s="5" t="s">
        <v>143</v>
      </c>
      <c r="Q83">
        <v>2</v>
      </c>
      <c r="R83" s="5" t="s">
        <v>118</v>
      </c>
      <c r="S83" s="7" t="s">
        <v>83</v>
      </c>
      <c r="T83" s="5" t="s">
        <v>176</v>
      </c>
      <c r="U83" s="5" t="s">
        <v>12</v>
      </c>
      <c r="V83" s="5" t="s">
        <v>11</v>
      </c>
      <c r="W83" s="12" t="b">
        <v>0</v>
      </c>
    </row>
    <row r="84" spans="1:23" ht="14.25" customHeight="1" x14ac:dyDescent="0.3">
      <c r="A84" s="5" t="s">
        <v>80</v>
      </c>
      <c r="B84" s="7" t="s">
        <v>91</v>
      </c>
      <c r="C84" s="7" t="s">
        <v>375</v>
      </c>
      <c r="D84" s="14" t="s">
        <v>201</v>
      </c>
      <c r="E84" s="6" t="s">
        <v>140</v>
      </c>
      <c r="F84" s="7" t="s">
        <v>10</v>
      </c>
      <c r="G84" s="5" t="s">
        <v>127</v>
      </c>
      <c r="H84" s="5" t="s">
        <v>119</v>
      </c>
      <c r="I84" s="5" t="s">
        <v>119</v>
      </c>
      <c r="J84" s="5" t="s">
        <v>119</v>
      </c>
      <c r="K84" s="8" t="s">
        <v>11</v>
      </c>
      <c r="L84" s="8"/>
      <c r="M84" s="6">
        <v>1</v>
      </c>
      <c r="N84" s="5" t="s">
        <v>145</v>
      </c>
      <c r="O84">
        <v>2</v>
      </c>
      <c r="P84" s="5" t="s">
        <v>147</v>
      </c>
      <c r="Q84">
        <v>1</v>
      </c>
      <c r="R84" s="5" t="s">
        <v>118</v>
      </c>
      <c r="S84" s="7" t="s">
        <v>83</v>
      </c>
      <c r="T84" s="5" t="s">
        <v>164</v>
      </c>
      <c r="U84" s="5" t="s">
        <v>12</v>
      </c>
      <c r="V84" s="5" t="s">
        <v>11</v>
      </c>
      <c r="W84" s="12" t="b">
        <v>0</v>
      </c>
    </row>
    <row r="85" spans="1:23" ht="14.25" customHeight="1" x14ac:dyDescent="0.3">
      <c r="A85" s="5" t="s">
        <v>80</v>
      </c>
      <c r="B85" s="7" t="s">
        <v>92</v>
      </c>
      <c r="C85" s="7" t="s">
        <v>376</v>
      </c>
      <c r="D85" s="14" t="s">
        <v>201</v>
      </c>
      <c r="E85" s="6" t="s">
        <v>140</v>
      </c>
      <c r="F85" s="7" t="s">
        <v>10</v>
      </c>
      <c r="G85" s="5" t="s">
        <v>127</v>
      </c>
      <c r="H85" s="5" t="s">
        <v>119</v>
      </c>
      <c r="I85" s="5" t="s">
        <v>119</v>
      </c>
      <c r="J85" s="5" t="s">
        <v>119</v>
      </c>
      <c r="K85" s="8" t="s">
        <v>11</v>
      </c>
      <c r="L85" s="8"/>
      <c r="M85" s="6">
        <v>1</v>
      </c>
      <c r="N85" s="5" t="s">
        <v>146</v>
      </c>
      <c r="O85">
        <v>2</v>
      </c>
      <c r="P85" s="5" t="s">
        <v>147</v>
      </c>
      <c r="Q85">
        <v>2</v>
      </c>
      <c r="R85" s="5" t="s">
        <v>118</v>
      </c>
      <c r="S85" s="7" t="s">
        <v>83</v>
      </c>
      <c r="T85" s="5" t="s">
        <v>165</v>
      </c>
      <c r="U85" s="5" t="s">
        <v>12</v>
      </c>
      <c r="V85" s="5" t="s">
        <v>11</v>
      </c>
      <c r="W85" s="12" t="b">
        <v>0</v>
      </c>
    </row>
    <row r="86" spans="1:23" ht="14.25" customHeight="1" x14ac:dyDescent="0.3">
      <c r="A86" s="5" t="s">
        <v>80</v>
      </c>
      <c r="B86" s="7" t="s">
        <v>93</v>
      </c>
      <c r="C86" s="7" t="s">
        <v>377</v>
      </c>
      <c r="D86" s="14" t="s">
        <v>205</v>
      </c>
      <c r="E86" s="6" t="s">
        <v>140</v>
      </c>
      <c r="F86" s="7" t="s">
        <v>10</v>
      </c>
      <c r="G86" s="5" t="s">
        <v>127</v>
      </c>
      <c r="H86" s="5" t="s">
        <v>119</v>
      </c>
      <c r="I86" s="5" t="s">
        <v>119</v>
      </c>
      <c r="J86" s="5" t="s">
        <v>119</v>
      </c>
      <c r="K86" s="8" t="s">
        <v>11</v>
      </c>
      <c r="L86" s="8"/>
      <c r="M86" s="6">
        <v>1</v>
      </c>
      <c r="N86" s="5" t="s">
        <v>148</v>
      </c>
      <c r="O86">
        <v>1</v>
      </c>
      <c r="P86" s="5" t="s">
        <v>151</v>
      </c>
      <c r="Q86">
        <v>1</v>
      </c>
      <c r="R86" s="5" t="s">
        <v>118</v>
      </c>
      <c r="S86" s="7" t="s">
        <v>83</v>
      </c>
      <c r="T86" s="5" t="s">
        <v>162</v>
      </c>
      <c r="U86" s="5" t="s">
        <v>12</v>
      </c>
      <c r="V86" s="5" t="s">
        <v>11</v>
      </c>
      <c r="W86" s="12" t="b">
        <v>0</v>
      </c>
    </row>
    <row r="87" spans="1:23" ht="14.25" customHeight="1" x14ac:dyDescent="0.3">
      <c r="A87" s="5" t="s">
        <v>80</v>
      </c>
      <c r="B87" s="7" t="s">
        <v>94</v>
      </c>
      <c r="C87" s="7" t="s">
        <v>378</v>
      </c>
      <c r="D87" s="14" t="s">
        <v>205</v>
      </c>
      <c r="E87" s="6" t="s">
        <v>140</v>
      </c>
      <c r="F87" s="7" t="s">
        <v>10</v>
      </c>
      <c r="G87" s="5" t="s">
        <v>127</v>
      </c>
      <c r="H87" s="5" t="s">
        <v>119</v>
      </c>
      <c r="I87" s="5" t="s">
        <v>119</v>
      </c>
      <c r="J87" s="5" t="s">
        <v>119</v>
      </c>
      <c r="K87" s="8" t="s">
        <v>11</v>
      </c>
      <c r="L87" s="8"/>
      <c r="M87" s="6">
        <v>1</v>
      </c>
      <c r="N87" s="5" t="s">
        <v>149</v>
      </c>
      <c r="O87">
        <v>1</v>
      </c>
      <c r="P87" s="5" t="s">
        <v>151</v>
      </c>
      <c r="Q87">
        <v>2</v>
      </c>
      <c r="R87" s="5" t="s">
        <v>118</v>
      </c>
      <c r="S87" s="7" t="s">
        <v>83</v>
      </c>
      <c r="T87" s="5" t="s">
        <v>163</v>
      </c>
      <c r="U87" s="5" t="s">
        <v>12</v>
      </c>
      <c r="V87" s="5" t="s">
        <v>11</v>
      </c>
      <c r="W87" s="12" t="b">
        <v>0</v>
      </c>
    </row>
    <row r="88" spans="1:23" ht="14.25" customHeight="1" x14ac:dyDescent="0.3">
      <c r="A88" s="5" t="s">
        <v>80</v>
      </c>
      <c r="B88" s="7" t="s">
        <v>95</v>
      </c>
      <c r="C88" s="7" t="s">
        <v>379</v>
      </c>
      <c r="D88" s="14" t="s">
        <v>200</v>
      </c>
      <c r="E88" s="6" t="s">
        <v>140</v>
      </c>
      <c r="F88" s="7" t="s">
        <v>10</v>
      </c>
      <c r="G88" s="5" t="s">
        <v>127</v>
      </c>
      <c r="H88" s="5" t="s">
        <v>119</v>
      </c>
      <c r="I88" s="5" t="s">
        <v>119</v>
      </c>
      <c r="J88" s="5" t="s">
        <v>119</v>
      </c>
      <c r="K88" s="8" t="s">
        <v>11</v>
      </c>
      <c r="L88" s="8"/>
      <c r="M88" s="6">
        <v>1</v>
      </c>
      <c r="N88" s="5" t="s">
        <v>154</v>
      </c>
      <c r="O88">
        <v>5</v>
      </c>
      <c r="P88" s="5" t="s">
        <v>157</v>
      </c>
      <c r="Q88">
        <v>2</v>
      </c>
      <c r="R88" s="5" t="s">
        <v>117</v>
      </c>
      <c r="S88" s="7" t="s">
        <v>83</v>
      </c>
      <c r="T88" s="5" t="s">
        <v>167</v>
      </c>
      <c r="U88" s="5" t="s">
        <v>12</v>
      </c>
      <c r="V88" s="5" t="s">
        <v>11</v>
      </c>
      <c r="W88" s="12" t="b">
        <v>1</v>
      </c>
    </row>
    <row r="89" spans="1:23" ht="14.25" customHeight="1" x14ac:dyDescent="0.3">
      <c r="A89" s="5" t="s">
        <v>80</v>
      </c>
      <c r="B89" s="7" t="s">
        <v>96</v>
      </c>
      <c r="C89" s="7" t="s">
        <v>380</v>
      </c>
      <c r="D89" s="14" t="s">
        <v>200</v>
      </c>
      <c r="E89" s="6" t="s">
        <v>140</v>
      </c>
      <c r="F89" s="7" t="s">
        <v>10</v>
      </c>
      <c r="G89" s="5" t="s">
        <v>127</v>
      </c>
      <c r="H89" s="5" t="s">
        <v>119</v>
      </c>
      <c r="I89" s="5" t="s">
        <v>119</v>
      </c>
      <c r="J89" s="5" t="s">
        <v>119</v>
      </c>
      <c r="K89" s="8" t="s">
        <v>11</v>
      </c>
      <c r="L89" s="8"/>
      <c r="M89" s="6">
        <v>1</v>
      </c>
      <c r="N89" s="5" t="s">
        <v>155</v>
      </c>
      <c r="O89">
        <v>5</v>
      </c>
      <c r="P89" s="5" t="s">
        <v>157</v>
      </c>
      <c r="Q89">
        <v>4</v>
      </c>
      <c r="R89" s="5" t="s">
        <v>117</v>
      </c>
      <c r="S89" s="7" t="s">
        <v>83</v>
      </c>
      <c r="T89" s="5" t="s">
        <v>170</v>
      </c>
      <c r="U89" s="5" t="s">
        <v>12</v>
      </c>
      <c r="V89" s="5" t="s">
        <v>11</v>
      </c>
      <c r="W89" s="12" t="b">
        <v>1</v>
      </c>
    </row>
    <row r="90" spans="1:23" ht="14.25" customHeight="1" x14ac:dyDescent="0.3">
      <c r="A90" s="5" t="s">
        <v>80</v>
      </c>
      <c r="B90" s="7" t="s">
        <v>97</v>
      </c>
      <c r="C90" s="7" t="s">
        <v>381</v>
      </c>
      <c r="D90" s="14" t="s">
        <v>199</v>
      </c>
      <c r="E90" s="6" t="s">
        <v>140</v>
      </c>
      <c r="F90" s="7" t="s">
        <v>10</v>
      </c>
      <c r="G90" s="5" t="s">
        <v>127</v>
      </c>
      <c r="H90" s="5" t="s">
        <v>119</v>
      </c>
      <c r="I90" s="5" t="s">
        <v>119</v>
      </c>
      <c r="J90" s="5" t="s">
        <v>119</v>
      </c>
      <c r="K90" s="8" t="s">
        <v>11</v>
      </c>
      <c r="L90" s="8"/>
      <c r="M90" s="6">
        <v>1</v>
      </c>
      <c r="N90" s="5" t="s">
        <v>153</v>
      </c>
      <c r="O90">
        <v>5</v>
      </c>
      <c r="P90" s="5" t="s">
        <v>157</v>
      </c>
      <c r="Q90">
        <v>1</v>
      </c>
      <c r="R90" s="5" t="s">
        <v>117</v>
      </c>
      <c r="S90" s="7" t="s">
        <v>83</v>
      </c>
      <c r="T90" s="5" t="s">
        <v>168</v>
      </c>
      <c r="U90" s="5" t="s">
        <v>12</v>
      </c>
      <c r="V90" s="5" t="s">
        <v>11</v>
      </c>
      <c r="W90" s="12" t="b">
        <v>1</v>
      </c>
    </row>
    <row r="91" spans="1:23" ht="14.25" customHeight="1" x14ac:dyDescent="0.3">
      <c r="A91" s="5" t="s">
        <v>80</v>
      </c>
      <c r="B91" s="7" t="s">
        <v>98</v>
      </c>
      <c r="C91" s="7" t="s">
        <v>382</v>
      </c>
      <c r="D91" s="14" t="s">
        <v>199</v>
      </c>
      <c r="E91" s="6" t="s">
        <v>140</v>
      </c>
      <c r="F91" s="7" t="s">
        <v>10</v>
      </c>
      <c r="G91" s="5" t="s">
        <v>127</v>
      </c>
      <c r="H91" s="5" t="s">
        <v>119</v>
      </c>
      <c r="I91" s="5" t="s">
        <v>119</v>
      </c>
      <c r="J91" s="5" t="s">
        <v>119</v>
      </c>
      <c r="K91" s="8" t="s">
        <v>11</v>
      </c>
      <c r="L91" s="8"/>
      <c r="M91" s="6">
        <v>1</v>
      </c>
      <c r="N91" s="5" t="s">
        <v>156</v>
      </c>
      <c r="O91">
        <v>5</v>
      </c>
      <c r="P91" s="5" t="s">
        <v>157</v>
      </c>
      <c r="Q91">
        <v>3</v>
      </c>
      <c r="R91" s="5" t="s">
        <v>117</v>
      </c>
      <c r="S91" s="7" t="s">
        <v>83</v>
      </c>
      <c r="T91" s="5" t="s">
        <v>169</v>
      </c>
      <c r="U91" s="5" t="s">
        <v>12</v>
      </c>
      <c r="V91" s="5" t="s">
        <v>11</v>
      </c>
      <c r="W91" s="12" t="b">
        <v>1</v>
      </c>
    </row>
    <row r="92" spans="1:23" ht="14.25" customHeight="1" x14ac:dyDescent="0.3">
      <c r="A92" s="5" t="s">
        <v>80</v>
      </c>
      <c r="B92" s="7" t="s">
        <v>99</v>
      </c>
      <c r="C92" s="15" t="s">
        <v>383</v>
      </c>
      <c r="D92" s="14" t="s">
        <v>198</v>
      </c>
      <c r="E92" s="6" t="s">
        <v>140</v>
      </c>
      <c r="F92" s="7" t="s">
        <v>82</v>
      </c>
      <c r="G92" s="5" t="s">
        <v>127</v>
      </c>
      <c r="H92" s="5" t="s">
        <v>119</v>
      </c>
      <c r="I92" s="5" t="s">
        <v>119</v>
      </c>
      <c r="J92" s="5" t="s">
        <v>119</v>
      </c>
      <c r="K92" s="8" t="s">
        <v>11</v>
      </c>
      <c r="L92" s="8"/>
      <c r="M92" s="5">
        <v>16</v>
      </c>
      <c r="N92" s="5" t="s">
        <v>158</v>
      </c>
      <c r="O92">
        <v>12</v>
      </c>
      <c r="P92" s="5" t="s">
        <v>159</v>
      </c>
      <c r="Q92">
        <v>1</v>
      </c>
      <c r="R92" s="5" t="s">
        <v>117</v>
      </c>
      <c r="S92" s="7" t="s">
        <v>83</v>
      </c>
      <c r="T92" s="5" t="s">
        <v>171</v>
      </c>
      <c r="U92" s="5" t="s">
        <v>12</v>
      </c>
      <c r="V92" s="5" t="s">
        <v>11</v>
      </c>
      <c r="W92" s="12" t="b">
        <v>1</v>
      </c>
    </row>
    <row r="93" spans="1:23" ht="14.25" customHeight="1" x14ac:dyDescent="0.3">
      <c r="A93" s="5" t="s">
        <v>80</v>
      </c>
      <c r="B93" s="7" t="s">
        <v>100</v>
      </c>
      <c r="C93" s="7" t="s">
        <v>384</v>
      </c>
      <c r="D93" s="14" t="s">
        <v>204</v>
      </c>
      <c r="E93" s="6" t="s">
        <v>140</v>
      </c>
      <c r="F93" s="7" t="s">
        <v>10</v>
      </c>
      <c r="G93" s="5" t="s">
        <v>127</v>
      </c>
      <c r="H93" s="5" t="s">
        <v>119</v>
      </c>
      <c r="I93" s="5" t="s">
        <v>119</v>
      </c>
      <c r="J93" s="5" t="s">
        <v>119</v>
      </c>
      <c r="K93" s="8" t="s">
        <v>11</v>
      </c>
      <c r="L93" s="8"/>
      <c r="M93" s="6">
        <v>1</v>
      </c>
      <c r="N93" s="5" t="s">
        <v>150</v>
      </c>
      <c r="O93">
        <v>2</v>
      </c>
      <c r="P93" s="5" t="s">
        <v>147</v>
      </c>
      <c r="Q93">
        <v>3</v>
      </c>
      <c r="R93" s="5" t="s">
        <v>118</v>
      </c>
      <c r="S93" s="7" t="s">
        <v>83</v>
      </c>
      <c r="T93" s="5" t="s">
        <v>166</v>
      </c>
      <c r="U93" s="5" t="s">
        <v>12</v>
      </c>
      <c r="V93" s="5" t="s">
        <v>11</v>
      </c>
      <c r="W93" s="12" t="b">
        <v>0</v>
      </c>
    </row>
    <row r="94" spans="1:23" ht="14.25" customHeight="1" x14ac:dyDescent="0.3">
      <c r="A94" s="5" t="s">
        <v>80</v>
      </c>
      <c r="B94" s="5" t="s">
        <v>101</v>
      </c>
      <c r="C94" s="9" t="s">
        <v>385</v>
      </c>
      <c r="D94" s="14" t="s">
        <v>199</v>
      </c>
      <c r="E94" s="6" t="s">
        <v>140</v>
      </c>
      <c r="F94" s="5" t="s">
        <v>82</v>
      </c>
      <c r="G94" s="5" t="s">
        <v>127</v>
      </c>
      <c r="H94" s="5" t="s">
        <v>119</v>
      </c>
      <c r="I94" s="5" t="s">
        <v>119</v>
      </c>
      <c r="J94" s="5" t="s">
        <v>119</v>
      </c>
      <c r="K94" s="8" t="s">
        <v>11</v>
      </c>
      <c r="L94" s="8"/>
      <c r="M94" s="5">
        <v>16</v>
      </c>
      <c r="N94" s="5" t="s">
        <v>131</v>
      </c>
      <c r="O94">
        <v>11</v>
      </c>
      <c r="P94" s="5" t="s">
        <v>152</v>
      </c>
      <c r="Q94">
        <v>1</v>
      </c>
      <c r="R94" s="5" t="s">
        <v>118</v>
      </c>
      <c r="S94" s="7" t="s">
        <v>83</v>
      </c>
      <c r="T94" s="5" t="s">
        <v>172</v>
      </c>
      <c r="U94" s="5" t="s">
        <v>12</v>
      </c>
      <c r="V94" s="5" t="s">
        <v>11</v>
      </c>
      <c r="W94" s="12" t="b">
        <v>0</v>
      </c>
    </row>
    <row r="95" spans="1:23" ht="14.25" customHeight="1" x14ac:dyDescent="0.3">
      <c r="A95" s="5" t="s">
        <v>80</v>
      </c>
      <c r="B95" s="5" t="s">
        <v>102</v>
      </c>
      <c r="C95" s="9" t="s">
        <v>386</v>
      </c>
      <c r="D95" s="14" t="s">
        <v>199</v>
      </c>
      <c r="E95" s="6" t="s">
        <v>140</v>
      </c>
      <c r="F95" s="5" t="s">
        <v>82</v>
      </c>
      <c r="G95" s="5" t="s">
        <v>127</v>
      </c>
      <c r="H95" s="5" t="s">
        <v>119</v>
      </c>
      <c r="I95" s="5" t="s">
        <v>119</v>
      </c>
      <c r="J95" s="5" t="s">
        <v>119</v>
      </c>
      <c r="K95" s="8" t="s">
        <v>11</v>
      </c>
      <c r="L95" s="8"/>
      <c r="M95" s="5">
        <v>16</v>
      </c>
      <c r="N95" s="5" t="s">
        <v>132</v>
      </c>
      <c r="O95">
        <v>11</v>
      </c>
      <c r="P95" s="5" t="s">
        <v>152</v>
      </c>
      <c r="Q95">
        <v>2</v>
      </c>
      <c r="R95" s="5" t="s">
        <v>118</v>
      </c>
      <c r="S95" s="7" t="s">
        <v>83</v>
      </c>
      <c r="T95" s="5" t="s">
        <v>173</v>
      </c>
      <c r="U95" s="5" t="s">
        <v>12</v>
      </c>
      <c r="V95" s="5" t="s">
        <v>11</v>
      </c>
      <c r="W95" s="12" t="b">
        <v>0</v>
      </c>
    </row>
    <row r="96" spans="1:23" ht="14.25" customHeight="1" x14ac:dyDescent="0.3">
      <c r="A96" s="5" t="s">
        <v>80</v>
      </c>
      <c r="B96" s="5" t="s">
        <v>103</v>
      </c>
      <c r="C96" s="15" t="s">
        <v>387</v>
      </c>
      <c r="D96" s="14" t="s">
        <v>198</v>
      </c>
      <c r="E96" s="6" t="s">
        <v>140</v>
      </c>
      <c r="F96" s="5" t="s">
        <v>82</v>
      </c>
      <c r="G96" s="5" t="s">
        <v>127</v>
      </c>
      <c r="H96" s="5" t="s">
        <v>119</v>
      </c>
      <c r="I96" s="5" t="s">
        <v>119</v>
      </c>
      <c r="J96" s="5" t="s">
        <v>119</v>
      </c>
      <c r="K96" s="8" t="s">
        <v>11</v>
      </c>
      <c r="L96" s="8"/>
      <c r="M96" s="5">
        <v>16</v>
      </c>
      <c r="N96" s="5" t="s">
        <v>133</v>
      </c>
      <c r="O96">
        <v>11</v>
      </c>
      <c r="P96" s="5" t="s">
        <v>152</v>
      </c>
      <c r="Q96">
        <v>3</v>
      </c>
      <c r="R96" s="5" t="s">
        <v>118</v>
      </c>
      <c r="S96" s="7" t="s">
        <v>83</v>
      </c>
      <c r="T96" s="5" t="s">
        <v>174</v>
      </c>
      <c r="U96" s="5" t="s">
        <v>12</v>
      </c>
      <c r="V96" s="5" t="s">
        <v>11</v>
      </c>
      <c r="W96" s="12" t="b">
        <v>0</v>
      </c>
    </row>
    <row r="97" spans="1:23" ht="14.25" customHeight="1" x14ac:dyDescent="0.3">
      <c r="A97" s="5" t="s">
        <v>80</v>
      </c>
      <c r="B97" s="5" t="s">
        <v>104</v>
      </c>
      <c r="C97" s="5" t="s">
        <v>193</v>
      </c>
      <c r="D97" s="5"/>
      <c r="E97" s="6" t="s">
        <v>141</v>
      </c>
      <c r="F97" s="5" t="s">
        <v>82</v>
      </c>
      <c r="G97" s="5" t="s">
        <v>127</v>
      </c>
      <c r="H97" s="5" t="s">
        <v>119</v>
      </c>
      <c r="I97" s="5" t="s">
        <v>119</v>
      </c>
      <c r="J97" s="5" t="s">
        <v>119</v>
      </c>
      <c r="K97" s="8" t="s">
        <v>11</v>
      </c>
      <c r="L97" s="8"/>
      <c r="M97" s="5">
        <v>16</v>
      </c>
      <c r="N97" s="5" t="s">
        <v>134</v>
      </c>
      <c r="O97">
        <v>11</v>
      </c>
      <c r="P97" s="5" t="s">
        <v>152</v>
      </c>
      <c r="Q97">
        <v>4</v>
      </c>
      <c r="R97" s="5" t="s">
        <v>118</v>
      </c>
      <c r="S97" s="7" t="s">
        <v>83</v>
      </c>
      <c r="T97" s="5" t="s">
        <v>175</v>
      </c>
      <c r="U97" s="5" t="s">
        <v>12</v>
      </c>
      <c r="V97" s="5" t="s">
        <v>11</v>
      </c>
      <c r="W97" s="12" t="b">
        <v>0</v>
      </c>
    </row>
    <row r="98" spans="1:23" ht="14.25" customHeight="1" x14ac:dyDescent="0.3">
      <c r="A98" s="9" t="s">
        <v>26</v>
      </c>
      <c r="B98" s="9" t="s">
        <v>187</v>
      </c>
      <c r="C98" s="9" t="s">
        <v>388</v>
      </c>
      <c r="D98" s="14" t="s">
        <v>199</v>
      </c>
      <c r="E98" s="6" t="s">
        <v>140</v>
      </c>
      <c r="F98" s="9" t="s">
        <v>10</v>
      </c>
      <c r="G98" s="9" t="s">
        <v>124</v>
      </c>
      <c r="H98" s="5" t="str">
        <f t="shared" ref="H98:H105" si="17">_xlfn.CONCAT("0x",DEC2HEX(I98))</f>
        <v>0x3039</v>
      </c>
      <c r="I98" s="7">
        <f>I76+1</f>
        <v>12345</v>
      </c>
      <c r="J98" s="6" t="str">
        <f t="shared" ref="J98:J105" si="18">_xlfn.CONCAT(0,I98+1)</f>
        <v>012346</v>
      </c>
      <c r="K98" s="9" t="s">
        <v>184</v>
      </c>
      <c r="L98" s="6" t="s">
        <v>221</v>
      </c>
      <c r="M98" s="9">
        <v>1</v>
      </c>
      <c r="N98" s="7" t="str">
        <f>_xlfn.CONCAT("%MX",INDEX('Mapping Sheet'!E:E,Table1[[#This Row],[Modbus Address]]-12287,1),".",INDEX('Mapping Sheet'!F:F,Table1[[#This Row],[Modbus Address]]-12287,1))</f>
        <v>%MX3.9</v>
      </c>
      <c r="O98" t="s">
        <v>11</v>
      </c>
      <c r="P98" s="9" t="s">
        <v>11</v>
      </c>
      <c r="Q98" t="s">
        <v>11</v>
      </c>
      <c r="R98" s="9" t="s">
        <v>11</v>
      </c>
      <c r="S98" t="s">
        <v>12</v>
      </c>
      <c r="U98" t="s">
        <v>83</v>
      </c>
      <c r="V98" s="9" t="s">
        <v>11</v>
      </c>
      <c r="W98" s="12" t="b">
        <v>1</v>
      </c>
    </row>
    <row r="99" spans="1:23" ht="14.25" customHeight="1" x14ac:dyDescent="0.3">
      <c r="A99" s="9" t="s">
        <v>26</v>
      </c>
      <c r="B99" s="9" t="s">
        <v>188</v>
      </c>
      <c r="C99" s="9" t="s">
        <v>389</v>
      </c>
      <c r="D99" s="14" t="s">
        <v>199</v>
      </c>
      <c r="E99" s="6" t="s">
        <v>140</v>
      </c>
      <c r="F99" s="9" t="s">
        <v>10</v>
      </c>
      <c r="G99" s="9" t="s">
        <v>124</v>
      </c>
      <c r="H99" s="5" t="str">
        <f t="shared" si="17"/>
        <v>0x303A</v>
      </c>
      <c r="I99" s="7">
        <f t="shared" ref="I99:I104" si="19">I98+1</f>
        <v>12346</v>
      </c>
      <c r="J99" s="6" t="str">
        <f t="shared" si="18"/>
        <v>012347</v>
      </c>
      <c r="K99" s="9" t="s">
        <v>184</v>
      </c>
      <c r="L99" s="6" t="s">
        <v>221</v>
      </c>
      <c r="M99" s="9">
        <v>1</v>
      </c>
      <c r="N99" s="7" t="str">
        <f>_xlfn.CONCAT("%MX",INDEX('Mapping Sheet'!E:E,Table1[[#This Row],[Modbus Address]]-12287,1),".",INDEX('Mapping Sheet'!F:F,Table1[[#This Row],[Modbus Address]]-12287,1))</f>
        <v>%MX3.10</v>
      </c>
      <c r="O99" t="s">
        <v>11</v>
      </c>
      <c r="P99" s="9" t="s">
        <v>11</v>
      </c>
      <c r="Q99" t="s">
        <v>11</v>
      </c>
      <c r="R99" s="9" t="s">
        <v>11</v>
      </c>
      <c r="S99" t="s">
        <v>12</v>
      </c>
      <c r="U99" t="s">
        <v>83</v>
      </c>
      <c r="V99" s="9" t="s">
        <v>11</v>
      </c>
      <c r="W99" s="12" t="b">
        <v>1</v>
      </c>
    </row>
    <row r="100" spans="1:23" ht="14.25" customHeight="1" x14ac:dyDescent="0.3">
      <c r="A100" s="9" t="s">
        <v>26</v>
      </c>
      <c r="B100" s="9" t="s">
        <v>189</v>
      </c>
      <c r="C100" s="9" t="s">
        <v>390</v>
      </c>
      <c r="D100" s="14" t="s">
        <v>199</v>
      </c>
      <c r="E100" s="6" t="s">
        <v>140</v>
      </c>
      <c r="F100" s="9" t="s">
        <v>10</v>
      </c>
      <c r="G100" s="9" t="s">
        <v>124</v>
      </c>
      <c r="H100" s="5" t="str">
        <f t="shared" si="17"/>
        <v>0x303B</v>
      </c>
      <c r="I100" s="7">
        <f t="shared" si="19"/>
        <v>12347</v>
      </c>
      <c r="J100" s="6" t="str">
        <f t="shared" si="18"/>
        <v>012348</v>
      </c>
      <c r="K100" s="9" t="s">
        <v>184</v>
      </c>
      <c r="L100" s="6" t="s">
        <v>221</v>
      </c>
      <c r="M100" s="9">
        <v>1</v>
      </c>
      <c r="N100" s="7" t="str">
        <f>_xlfn.CONCAT("%MX",INDEX('Mapping Sheet'!E:E,Table1[[#This Row],[Modbus Address]]-12287,1),".",INDEX('Mapping Sheet'!F:F,Table1[[#This Row],[Modbus Address]]-12287,1))</f>
        <v>%MX3.11</v>
      </c>
      <c r="O100" t="s">
        <v>11</v>
      </c>
      <c r="P100" s="9" t="s">
        <v>11</v>
      </c>
      <c r="Q100" t="s">
        <v>11</v>
      </c>
      <c r="R100" s="9" t="s">
        <v>190</v>
      </c>
      <c r="S100" t="s">
        <v>12</v>
      </c>
      <c r="U100" t="s">
        <v>83</v>
      </c>
      <c r="V100" s="9" t="s">
        <v>11</v>
      </c>
      <c r="W100" s="12" t="b">
        <v>1</v>
      </c>
    </row>
    <row r="101" spans="1:23" ht="14.25" customHeight="1" x14ac:dyDescent="0.3">
      <c r="A101" s="9" t="s">
        <v>26</v>
      </c>
      <c r="B101" s="9" t="s">
        <v>191</v>
      </c>
      <c r="C101" s="9" t="s">
        <v>391</v>
      </c>
      <c r="D101" s="14" t="s">
        <v>200</v>
      </c>
      <c r="E101" s="6" t="s">
        <v>140</v>
      </c>
      <c r="F101" s="9" t="s">
        <v>10</v>
      </c>
      <c r="G101" s="9" t="s">
        <v>124</v>
      </c>
      <c r="H101" s="5" t="str">
        <f t="shared" si="17"/>
        <v>0x303C</v>
      </c>
      <c r="I101" s="7">
        <f t="shared" si="19"/>
        <v>12348</v>
      </c>
      <c r="J101" s="6" t="str">
        <f t="shared" si="18"/>
        <v>012349</v>
      </c>
      <c r="K101" s="9" t="s">
        <v>184</v>
      </c>
      <c r="L101" s="6" t="s">
        <v>221</v>
      </c>
      <c r="M101" s="9">
        <v>1</v>
      </c>
      <c r="N101" s="7" t="str">
        <f>_xlfn.CONCAT("%MX",INDEX('Mapping Sheet'!E:E,Table1[[#This Row],[Modbus Address]]-12287,1),".",INDEX('Mapping Sheet'!F:F,Table1[[#This Row],[Modbus Address]]-12287,1))</f>
        <v>%MX3.12</v>
      </c>
      <c r="O101" t="s">
        <v>11</v>
      </c>
      <c r="P101" t="s">
        <v>11</v>
      </c>
      <c r="Q101" t="s">
        <v>11</v>
      </c>
      <c r="R101" s="9" t="s">
        <v>11</v>
      </c>
      <c r="S101" t="s">
        <v>12</v>
      </c>
      <c r="U101" t="s">
        <v>83</v>
      </c>
      <c r="V101" s="9" t="s">
        <v>11</v>
      </c>
      <c r="W101" s="12" t="b">
        <v>1</v>
      </c>
    </row>
    <row r="102" spans="1:23" ht="14.25" customHeight="1" x14ac:dyDescent="0.3">
      <c r="A102" s="9" t="s">
        <v>26</v>
      </c>
      <c r="B102" s="9" t="s">
        <v>192</v>
      </c>
      <c r="C102" s="9" t="s">
        <v>392</v>
      </c>
      <c r="D102" s="14" t="s">
        <v>200</v>
      </c>
      <c r="E102" s="6" t="s">
        <v>140</v>
      </c>
      <c r="F102" s="9" t="s">
        <v>10</v>
      </c>
      <c r="G102" s="9" t="s">
        <v>124</v>
      </c>
      <c r="H102" s="5" t="str">
        <f t="shared" si="17"/>
        <v>0x303D</v>
      </c>
      <c r="I102" s="7">
        <f t="shared" si="19"/>
        <v>12349</v>
      </c>
      <c r="J102" s="6" t="str">
        <f t="shared" si="18"/>
        <v>012350</v>
      </c>
      <c r="K102" s="9" t="s">
        <v>184</v>
      </c>
      <c r="L102" s="6" t="s">
        <v>221</v>
      </c>
      <c r="M102" s="9">
        <v>1</v>
      </c>
      <c r="N102" s="7" t="str">
        <f>_xlfn.CONCAT("%MX",INDEX('Mapping Sheet'!E:E,Table1[[#This Row],[Modbus Address]]-12287,1),".",INDEX('Mapping Sheet'!F:F,Table1[[#This Row],[Modbus Address]]-12287,1))</f>
        <v>%MX3.13</v>
      </c>
      <c r="O102" t="s">
        <v>11</v>
      </c>
      <c r="P102" t="s">
        <v>11</v>
      </c>
      <c r="Q102" t="s">
        <v>11</v>
      </c>
      <c r="R102" t="s">
        <v>11</v>
      </c>
      <c r="S102" t="s">
        <v>12</v>
      </c>
      <c r="U102" t="s">
        <v>83</v>
      </c>
      <c r="V102" s="9" t="s">
        <v>11</v>
      </c>
      <c r="W102" s="12" t="b">
        <v>1</v>
      </c>
    </row>
    <row r="103" spans="1:23" ht="14.25" customHeight="1" x14ac:dyDescent="0.3">
      <c r="A103" s="9" t="s">
        <v>26</v>
      </c>
      <c r="B103" s="9" t="s">
        <v>195</v>
      </c>
      <c r="C103" s="9" t="s">
        <v>312</v>
      </c>
      <c r="D103" s="14" t="s">
        <v>199</v>
      </c>
      <c r="E103" s="6" t="s">
        <v>140</v>
      </c>
      <c r="F103" s="9" t="s">
        <v>10</v>
      </c>
      <c r="G103" s="9" t="s">
        <v>124</v>
      </c>
      <c r="H103" s="5" t="str">
        <f t="shared" si="17"/>
        <v>0x303E</v>
      </c>
      <c r="I103" s="7">
        <f t="shared" si="19"/>
        <v>12350</v>
      </c>
      <c r="J103" s="6" t="str">
        <f t="shared" si="18"/>
        <v>012351</v>
      </c>
      <c r="K103" s="9" t="s">
        <v>184</v>
      </c>
      <c r="L103" s="6" t="s">
        <v>221</v>
      </c>
      <c r="M103" s="9">
        <v>1</v>
      </c>
      <c r="N103" s="7" t="str">
        <f>_xlfn.CONCAT("%MX",INDEX('Mapping Sheet'!E:E,Table1[[#This Row],[Modbus Address]]-12287,1),".",INDEX('Mapping Sheet'!F:F,Table1[[#This Row],[Modbus Address]]-12287,1))</f>
        <v>%MX3.14</v>
      </c>
      <c r="O103" t="s">
        <v>11</v>
      </c>
      <c r="P103" t="s">
        <v>11</v>
      </c>
      <c r="Q103" t="s">
        <v>11</v>
      </c>
      <c r="R103" t="s">
        <v>11</v>
      </c>
      <c r="S103" t="s">
        <v>12</v>
      </c>
      <c r="U103" t="s">
        <v>83</v>
      </c>
      <c r="V103" s="9"/>
      <c r="W103" s="12" t="b">
        <v>1</v>
      </c>
    </row>
    <row r="104" spans="1:23" ht="14.25" customHeight="1" x14ac:dyDescent="0.3">
      <c r="A104" s="9" t="s">
        <v>26</v>
      </c>
      <c r="B104" s="9" t="s">
        <v>196</v>
      </c>
      <c r="C104" s="9" t="s">
        <v>393</v>
      </c>
      <c r="D104" s="14" t="s">
        <v>197</v>
      </c>
      <c r="E104" s="6" t="s">
        <v>140</v>
      </c>
      <c r="F104" s="9" t="s">
        <v>10</v>
      </c>
      <c r="G104" s="9" t="s">
        <v>124</v>
      </c>
      <c r="H104" s="5" t="str">
        <f t="shared" si="17"/>
        <v>0x303F</v>
      </c>
      <c r="I104" s="7">
        <f t="shared" si="19"/>
        <v>12351</v>
      </c>
      <c r="J104" s="6" t="str">
        <f t="shared" si="18"/>
        <v>012352</v>
      </c>
      <c r="K104" s="9" t="s">
        <v>184</v>
      </c>
      <c r="L104" s="6" t="s">
        <v>221</v>
      </c>
      <c r="M104" s="9">
        <v>1</v>
      </c>
      <c r="N104" s="7" t="str">
        <f>_xlfn.CONCAT("%MX",INDEX('Mapping Sheet'!E:E,Table1[[#This Row],[Modbus Address]]-12287,1),".",INDEX('Mapping Sheet'!F:F,Table1[[#This Row],[Modbus Address]]-12287,1))</f>
        <v>%MX3.15</v>
      </c>
      <c r="O104" t="s">
        <v>11</v>
      </c>
      <c r="P104" t="s">
        <v>11</v>
      </c>
      <c r="Q104" t="s">
        <v>11</v>
      </c>
      <c r="R104" t="s">
        <v>11</v>
      </c>
      <c r="S104" t="s">
        <v>12</v>
      </c>
      <c r="U104" t="s">
        <v>83</v>
      </c>
      <c r="V104" s="9"/>
      <c r="W104" s="12" t="b">
        <v>0</v>
      </c>
    </row>
    <row r="105" spans="1:23" ht="14.25" customHeight="1" x14ac:dyDescent="0.3">
      <c r="A105" s="16" t="s">
        <v>26</v>
      </c>
      <c r="B105" s="16" t="s">
        <v>222</v>
      </c>
      <c r="C105" s="16" t="s">
        <v>394</v>
      </c>
      <c r="D105" s="15" t="s">
        <v>197</v>
      </c>
      <c r="E105" s="17" t="s">
        <v>140</v>
      </c>
      <c r="F105" s="16" t="s">
        <v>223</v>
      </c>
      <c r="G105" s="16" t="s">
        <v>124</v>
      </c>
      <c r="H105" s="5" t="str">
        <f t="shared" si="17"/>
        <v>0x318A</v>
      </c>
      <c r="I105" s="16">
        <f>I48+100</f>
        <v>12682</v>
      </c>
      <c r="J105" s="6" t="str">
        <f>_xlfn.CONCAT(4,I105+1)</f>
        <v>412683</v>
      </c>
      <c r="K105" s="15" t="s">
        <v>225</v>
      </c>
      <c r="L105" s="15" t="s">
        <v>219</v>
      </c>
      <c r="M105" s="15">
        <v>32</v>
      </c>
      <c r="N105" s="16" t="str">
        <f>_xlfn.CONCAT("%MD",INDEX('Mapping Sheet'!G:G,Table1[[#This Row],[Modbus Address]]-12287,1))</f>
        <v>%MD197</v>
      </c>
      <c r="O105" t="s">
        <v>11</v>
      </c>
      <c r="P105" t="s">
        <v>11</v>
      </c>
      <c r="Q105" t="s">
        <v>11</v>
      </c>
      <c r="R105" t="s">
        <v>11</v>
      </c>
      <c r="S105" t="s">
        <v>12</v>
      </c>
      <c r="T105" s="18" t="s">
        <v>224</v>
      </c>
      <c r="U105" s="18" t="s">
        <v>83</v>
      </c>
      <c r="V105" s="16"/>
      <c r="W105" s="12" t="b">
        <v>0</v>
      </c>
    </row>
    <row r="106" spans="1:23" ht="14.25" customHeight="1" x14ac:dyDescent="0.3">
      <c r="A106" s="16"/>
      <c r="B106" s="16"/>
      <c r="C106" s="16"/>
      <c r="D106" s="15"/>
      <c r="E106" s="17"/>
      <c r="F106" s="16"/>
      <c r="G106" s="16"/>
      <c r="H106" s="16"/>
      <c r="I106" s="16"/>
      <c r="J106" s="16"/>
      <c r="K106" s="15"/>
      <c r="L106" s="15"/>
      <c r="M106" s="15"/>
      <c r="N106" s="16"/>
      <c r="O106" s="18"/>
      <c r="P106" s="16"/>
      <c r="Q106" s="18"/>
      <c r="R106" s="16"/>
      <c r="S106" s="19"/>
      <c r="T106" s="18"/>
      <c r="U106" s="18"/>
      <c r="V106" s="16"/>
      <c r="W106" s="12" t="b">
        <v>0</v>
      </c>
    </row>
    <row r="107" spans="1:23" ht="14.25" customHeight="1" x14ac:dyDescent="0.3"/>
    <row r="108" spans="1:23" ht="14.25" customHeight="1" x14ac:dyDescent="0.3"/>
    <row r="109" spans="1:23" ht="14.25" customHeight="1" x14ac:dyDescent="0.3"/>
    <row r="110" spans="1:23" ht="14.25" customHeight="1" x14ac:dyDescent="0.3"/>
    <row r="111" spans="1:23" ht="14.25" customHeight="1" x14ac:dyDescent="0.3"/>
    <row r="112" spans="1:23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11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CA59-5A01-4BF3-8401-1EE4D98726D4}">
  <dimension ref="A1:K194"/>
  <sheetViews>
    <sheetView topLeftCell="A83" workbookViewId="0">
      <selection activeCell="G10" sqref="G10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5.6640625" bestFit="1" customWidth="1"/>
  </cols>
  <sheetData>
    <row r="1" spans="1:11" x14ac:dyDescent="0.3">
      <c r="A1" t="s">
        <v>208</v>
      </c>
      <c r="K1" t="str">
        <f>A1</f>
        <v>GP-Pro EX</v>
      </c>
    </row>
    <row r="2" spans="1:11" x14ac:dyDescent="0.3">
      <c r="A2" t="s">
        <v>209</v>
      </c>
      <c r="B2" t="s">
        <v>211</v>
      </c>
      <c r="K2" t="str">
        <f>_xlfn.CONCAT(A2,",",B2)</f>
        <v>File Type,SymbolVariable</v>
      </c>
    </row>
    <row r="3" spans="1:11" x14ac:dyDescent="0.3">
      <c r="A3" t="s">
        <v>210</v>
      </c>
      <c r="B3">
        <v>3</v>
      </c>
      <c r="C3">
        <v>0</v>
      </c>
      <c r="K3" t="str">
        <f>_xlfn.CONCAT(A3,",",B3,",",C3)</f>
        <v>File Version,3,0</v>
      </c>
    </row>
    <row r="5" spans="1:11" x14ac:dyDescent="0.3">
      <c r="A5" t="s">
        <v>2</v>
      </c>
      <c r="B5" t="s">
        <v>212</v>
      </c>
      <c r="C5" t="s">
        <v>213</v>
      </c>
      <c r="D5" t="s">
        <v>214</v>
      </c>
      <c r="E5" t="s">
        <v>215</v>
      </c>
      <c r="F5" t="s">
        <v>216</v>
      </c>
      <c r="G5" t="s">
        <v>217</v>
      </c>
      <c r="K5" t="str">
        <f>_xlfn.CONCAT(A5,",",B5,",",C5,",",D5,",",E5,",",F5,",",G5)</f>
        <v>Name,Index,Type,External/Internal,Address,Keep,Comment</v>
      </c>
    </row>
    <row r="6" spans="1:11" x14ac:dyDescent="0.3">
      <c r="A6" t="str">
        <f>'Point List'!C3</f>
        <v>System_Start</v>
      </c>
      <c r="C6" t="str">
        <f>'Point List'!L3</f>
        <v>BitAddress</v>
      </c>
      <c r="D6" t="s">
        <v>220</v>
      </c>
      <c r="E6" t="str">
        <f>'Point List'!J3</f>
        <v>012289</v>
      </c>
      <c r="K6" t="str">
        <f>_xlfn.CONCAT(A6,",",B6,",",C6,",",D6,",",E6,",",F6,",",G6)</f>
        <v>System_Start,,BitAddress,PLC1,012289,,</v>
      </c>
    </row>
    <row r="7" spans="1:11" x14ac:dyDescent="0.3">
      <c r="A7" t="str">
        <f>'Point List'!C4</f>
        <v>System_Shutdown</v>
      </c>
      <c r="C7" t="str">
        <f>'Point List'!L4</f>
        <v>BitAddress</v>
      </c>
      <c r="D7" t="s">
        <v>220</v>
      </c>
      <c r="E7" t="str">
        <f>'Point List'!J4</f>
        <v>012290</v>
      </c>
      <c r="K7" t="str">
        <f t="shared" ref="K7:K70" si="0">_xlfn.CONCAT(A7,",",B7,",",C7,",",D7,",",E7,",",F7,",",G7)</f>
        <v>System_Shutdown,,BitAddress,PLC1,012290,,</v>
      </c>
    </row>
    <row r="8" spans="1:11" x14ac:dyDescent="0.3">
      <c r="A8" t="str">
        <f>'Point List'!C5</f>
        <v>Simplex_Mode</v>
      </c>
      <c r="C8" t="str">
        <f>'Point List'!L5</f>
        <v>BitAddress</v>
      </c>
      <c r="D8" t="s">
        <v>220</v>
      </c>
      <c r="E8" t="str">
        <f>'Point List'!J5</f>
        <v>012291</v>
      </c>
      <c r="K8" t="str">
        <f t="shared" si="0"/>
        <v>Simplex_Mode,,BitAddress,PLC1,012291,,</v>
      </c>
    </row>
    <row r="9" spans="1:11" x14ac:dyDescent="0.3">
      <c r="A9" t="str">
        <f>'Point List'!C6</f>
        <v>Manual_Turnover</v>
      </c>
      <c r="C9" t="str">
        <f>'Point List'!L6</f>
        <v>BitAddress</v>
      </c>
      <c r="D9" t="s">
        <v>220</v>
      </c>
      <c r="E9" t="str">
        <f>'Point List'!J6</f>
        <v>012292</v>
      </c>
      <c r="K9" t="str">
        <f t="shared" si="0"/>
        <v>Manual_Turnover,,BitAddress,PLC1,012292,,</v>
      </c>
    </row>
    <row r="10" spans="1:11" x14ac:dyDescent="0.3">
      <c r="A10" t="str">
        <f>'Point List'!C7</f>
        <v>Enable_Manual_Valve_Control</v>
      </c>
      <c r="C10" t="str">
        <f>'Point List'!L7</f>
        <v>BitAddress</v>
      </c>
      <c r="D10" t="s">
        <v>220</v>
      </c>
      <c r="E10" t="str">
        <f>'Point List'!J7</f>
        <v>012293</v>
      </c>
      <c r="K10" t="str">
        <f t="shared" si="0"/>
        <v>Enable_Manual_Valve_Control,,BitAddress,PLC1,012293,,</v>
      </c>
    </row>
    <row r="11" spans="1:11" x14ac:dyDescent="0.3">
      <c r="A11" t="str">
        <f>'Point List'!C8</f>
        <v>Enable_Manual_Fan_Control</v>
      </c>
      <c r="C11" t="str">
        <f>'Point List'!L8</f>
        <v>BitAddress</v>
      </c>
      <c r="D11" t="s">
        <v>220</v>
      </c>
      <c r="E11" t="str">
        <f>'Point List'!J8</f>
        <v>012294</v>
      </c>
      <c r="K11" t="str">
        <f t="shared" si="0"/>
        <v>Enable_Manual_Fan_Control,,BitAddress,PLC1,012294,,</v>
      </c>
    </row>
    <row r="12" spans="1:11" x14ac:dyDescent="0.3">
      <c r="A12" t="str">
        <f>'Point List'!C9</f>
        <v>AVAILABLE</v>
      </c>
      <c r="C12" t="str">
        <f>'Point List'!L9</f>
        <v>BitAddress</v>
      </c>
      <c r="D12" t="s">
        <v>220</v>
      </c>
      <c r="E12" t="str">
        <f>'Point List'!J9</f>
        <v>012295</v>
      </c>
      <c r="K12" t="str">
        <f t="shared" si="0"/>
        <v>AVAILABLE,,BitAddress,PLC1,012295,,</v>
      </c>
    </row>
    <row r="13" spans="1:11" x14ac:dyDescent="0.3">
      <c r="A13" t="str">
        <f>'Point List'!C10</f>
        <v>Force_Fan_1_On/Off</v>
      </c>
      <c r="C13" t="str">
        <f>'Point List'!L10</f>
        <v>BitAddress</v>
      </c>
      <c r="D13" t="s">
        <v>220</v>
      </c>
      <c r="E13" t="str">
        <f>'Point List'!J10</f>
        <v>012296</v>
      </c>
      <c r="K13" t="str">
        <f t="shared" si="0"/>
        <v>Force_Fan_1_On/Off,,BitAddress,PLC1,012296,,</v>
      </c>
    </row>
    <row r="14" spans="1:11" x14ac:dyDescent="0.3">
      <c r="A14" t="str">
        <f>'Point List'!C11</f>
        <v>Force_Fan_2_On/Off</v>
      </c>
      <c r="C14" t="str">
        <f>'Point List'!L11</f>
        <v>BitAddress</v>
      </c>
      <c r="D14" t="s">
        <v>220</v>
      </c>
      <c r="E14" t="str">
        <f>'Point List'!J11</f>
        <v>012297</v>
      </c>
      <c r="K14" t="str">
        <f t="shared" si="0"/>
        <v>Force_Fan_2_On/Off,,BitAddress,PLC1,012297,,</v>
      </c>
    </row>
    <row r="15" spans="1:11" x14ac:dyDescent="0.3">
      <c r="A15" t="str">
        <f>'Point List'!C12</f>
        <v>Primary_Hydraulic_Fault_ACK</v>
      </c>
      <c r="C15" t="str">
        <f>'Point List'!L12</f>
        <v>BitAddress</v>
      </c>
      <c r="D15" t="s">
        <v>220</v>
      </c>
      <c r="E15" t="str">
        <f>'Point List'!J12</f>
        <v>012298</v>
      </c>
      <c r="K15" t="str">
        <f t="shared" si="0"/>
        <v>Primary_Hydraulic_Fault_ACK,,BitAddress,PLC1,012298,,</v>
      </c>
    </row>
    <row r="16" spans="1:11" x14ac:dyDescent="0.3">
      <c r="A16" t="str">
        <f>'Point List'!C13</f>
        <v>Secondary_Hydraulic_Fault_ACK</v>
      </c>
      <c r="C16" t="str">
        <f>'Point List'!L13</f>
        <v>BitAddress</v>
      </c>
      <c r="D16" t="s">
        <v>220</v>
      </c>
      <c r="E16" t="str">
        <f>'Point List'!J13</f>
        <v>012299</v>
      </c>
      <c r="K16" t="str">
        <f t="shared" si="0"/>
        <v>Secondary_Hydraulic_Fault_ACK,,BitAddress,PLC1,012299,,</v>
      </c>
    </row>
    <row r="17" spans="1:11" x14ac:dyDescent="0.3">
      <c r="A17" t="str">
        <f>'Point List'!C14</f>
        <v>Enable_Pump_Cycling</v>
      </c>
      <c r="C17" t="str">
        <f>'Point List'!L14</f>
        <v>BitAddress</v>
      </c>
      <c r="D17" t="s">
        <v>220</v>
      </c>
      <c r="E17" t="str">
        <f>'Point List'!J14</f>
        <v>012300</v>
      </c>
      <c r="K17" t="str">
        <f t="shared" si="0"/>
        <v>Enable_Pump_Cycling,,BitAddress,PLC1,012300,,</v>
      </c>
    </row>
    <row r="18" spans="1:11" x14ac:dyDescent="0.3">
      <c r="A18" t="str">
        <f>'Point List'!C15</f>
        <v>Reset_Pump_Differential_Signal</v>
      </c>
      <c r="C18" t="str">
        <f>'Point List'!L15</f>
        <v>BitAddress</v>
      </c>
      <c r="D18" t="s">
        <v>220</v>
      </c>
      <c r="E18" t="str">
        <f>'Point List'!J15</f>
        <v>012301</v>
      </c>
      <c r="K18" t="str">
        <f t="shared" si="0"/>
        <v>Reset_Pump_Differential_Signal,,BitAddress,PLC1,012301,,</v>
      </c>
    </row>
    <row r="19" spans="1:11" x14ac:dyDescent="0.3">
      <c r="A19" t="str">
        <f>'Point List'!C16</f>
        <v>Fault_ACK</v>
      </c>
      <c r="C19" t="str">
        <f>'Point List'!L16</f>
        <v>BitAddress</v>
      </c>
      <c r="D19" t="s">
        <v>220</v>
      </c>
      <c r="E19" t="str">
        <f>'Point List'!J16</f>
        <v>012302</v>
      </c>
      <c r="K19" t="str">
        <f t="shared" si="0"/>
        <v>Fault_ACK,,BitAddress,PLC1,012302,,</v>
      </c>
    </row>
    <row r="20" spans="1:11" x14ac:dyDescent="0.3">
      <c r="A20" t="str">
        <f>'Point List'!C17</f>
        <v>AVAILABLE</v>
      </c>
      <c r="C20">
        <f>'Point List'!L17</f>
        <v>0</v>
      </c>
      <c r="D20" t="s">
        <v>220</v>
      </c>
      <c r="E20" t="str">
        <f>'Point List'!J17</f>
        <v>012303</v>
      </c>
      <c r="K20" t="str">
        <f t="shared" si="0"/>
        <v>AVAILABLE,,0,PLC1,012303,,</v>
      </c>
    </row>
    <row r="21" spans="1:11" x14ac:dyDescent="0.3">
      <c r="A21" t="str">
        <f>'Point List'!C18</f>
        <v>AVAILABLE</v>
      </c>
      <c r="C21">
        <f>'Point List'!L18</f>
        <v>0</v>
      </c>
      <c r="D21" t="s">
        <v>220</v>
      </c>
      <c r="E21" t="str">
        <f>'Point List'!J18</f>
        <v>012304</v>
      </c>
      <c r="K21" t="str">
        <f t="shared" si="0"/>
        <v>AVAILABLE,,0,PLC1,012304,,</v>
      </c>
    </row>
    <row r="22" spans="1:11" x14ac:dyDescent="0.3">
      <c r="A22" t="str">
        <f>'Point List'!C19</f>
        <v>System_On</v>
      </c>
      <c r="C22" t="str">
        <f>'Point List'!L19</f>
        <v>BitAddress</v>
      </c>
      <c r="D22" t="s">
        <v>220</v>
      </c>
      <c r="E22" t="str">
        <f>'Point List'!J19</f>
        <v>012305</v>
      </c>
      <c r="K22" t="str">
        <f t="shared" si="0"/>
        <v>System_On,,BitAddress,PLC1,012305,,</v>
      </c>
    </row>
    <row r="23" spans="1:11" x14ac:dyDescent="0.3">
      <c r="A23" t="str">
        <f>'Point List'!C20</f>
        <v>System_Shutting_Down</v>
      </c>
      <c r="C23" t="str">
        <f>'Point List'!L20</f>
        <v>BitAddress</v>
      </c>
      <c r="D23" t="s">
        <v>220</v>
      </c>
      <c r="E23" t="str">
        <f>'Point List'!J20</f>
        <v>012306</v>
      </c>
      <c r="K23" t="str">
        <f t="shared" si="0"/>
        <v>System_Shutting_Down,,BitAddress,PLC1,012306,,</v>
      </c>
    </row>
    <row r="24" spans="1:11" x14ac:dyDescent="0.3">
      <c r="A24" t="str">
        <f>'Point List'!C21</f>
        <v>System_Initializing</v>
      </c>
      <c r="C24" t="str">
        <f>'Point List'!L21</f>
        <v>BitAddress</v>
      </c>
      <c r="D24" t="s">
        <v>220</v>
      </c>
      <c r="E24" t="str">
        <f>'Point List'!J21</f>
        <v>012307</v>
      </c>
      <c r="K24" t="str">
        <f t="shared" si="0"/>
        <v>System_Initializing,,BitAddress,PLC1,012307,,</v>
      </c>
    </row>
    <row r="25" spans="1:11" x14ac:dyDescent="0.3">
      <c r="A25" t="str">
        <f>'Point List'!C22</f>
        <v>System_Calibrating</v>
      </c>
      <c r="C25" t="str">
        <f>'Point List'!L22</f>
        <v>BitAddress</v>
      </c>
      <c r="D25" t="s">
        <v>220</v>
      </c>
      <c r="E25" t="str">
        <f>'Point List'!J22</f>
        <v>012308</v>
      </c>
      <c r="K25" t="str">
        <f t="shared" si="0"/>
        <v>System_Calibrating,,BitAddress,PLC1,012308,,</v>
      </c>
    </row>
    <row r="26" spans="1:11" x14ac:dyDescent="0.3">
      <c r="A26" t="str">
        <f>'Point List'!C23</f>
        <v>Measured_Pump_Power</v>
      </c>
      <c r="C26" t="str">
        <f>'Point List'!L23</f>
        <v>WordAddress</v>
      </c>
      <c r="D26" t="s">
        <v>220</v>
      </c>
      <c r="E26" t="str">
        <f>'Point List'!J23</f>
        <v>412557</v>
      </c>
      <c r="K26" t="str">
        <f t="shared" si="0"/>
        <v>Measured_Pump_Power,,WordAddress,PLC1,412557,,</v>
      </c>
    </row>
    <row r="27" spans="1:11" x14ac:dyDescent="0.3">
      <c r="A27" t="str">
        <f>'Point List'!C24</f>
        <v>Measured_Inlet_Coolant_Temperature</v>
      </c>
      <c r="C27" t="str">
        <f>'Point List'!L24</f>
        <v>WordAddress</v>
      </c>
      <c r="D27" t="s">
        <v>220</v>
      </c>
      <c r="E27" t="str">
        <f>'Point List'!J24</f>
        <v>412559</v>
      </c>
      <c r="K27" t="str">
        <f t="shared" si="0"/>
        <v>Measured_Inlet_Coolant_Temperature,,WordAddress,PLC1,412559,,</v>
      </c>
    </row>
    <row r="28" spans="1:11" x14ac:dyDescent="0.3">
      <c r="A28" t="str">
        <f>'Point List'!C25</f>
        <v>Measured_Conductivity</v>
      </c>
      <c r="C28" t="str">
        <f>'Point List'!L25</f>
        <v>WordAddress</v>
      </c>
      <c r="D28" t="s">
        <v>220</v>
      </c>
      <c r="E28" t="str">
        <f>'Point List'!J25</f>
        <v>412561</v>
      </c>
      <c r="K28" t="str">
        <f t="shared" si="0"/>
        <v>Measured_Conductivity,,WordAddress,PLC1,412561,,</v>
      </c>
    </row>
    <row r="29" spans="1:11" x14ac:dyDescent="0.3">
      <c r="A29" t="str">
        <f>'Point List'!C26</f>
        <v>Measured_Flow</v>
      </c>
      <c r="C29" t="str">
        <f>'Point List'!L26</f>
        <v>WordAddress</v>
      </c>
      <c r="D29" t="s">
        <v>220</v>
      </c>
      <c r="E29" t="str">
        <f>'Point List'!J26</f>
        <v>412563</v>
      </c>
      <c r="K29" t="str">
        <f t="shared" si="0"/>
        <v>Measured_Flow,,WordAddress,PLC1,412563,,</v>
      </c>
    </row>
    <row r="30" spans="1:11" x14ac:dyDescent="0.3">
      <c r="A30" t="str">
        <f>'Point List'!C27</f>
        <v>Valve_Open_Percentage</v>
      </c>
      <c r="C30" t="str">
        <f>'Point List'!L27</f>
        <v>WordAddress</v>
      </c>
      <c r="D30" t="s">
        <v>220</v>
      </c>
      <c r="E30" t="str">
        <f>'Point List'!J27</f>
        <v>412565</v>
      </c>
      <c r="K30" t="str">
        <f t="shared" si="0"/>
        <v>Valve_Open_Percentage,,WordAddress,PLC1,412565,,</v>
      </c>
    </row>
    <row r="31" spans="1:11" x14ac:dyDescent="0.3">
      <c r="A31" t="str">
        <f>'Point List'!C28</f>
        <v>Real_RTD_1_Signal</v>
      </c>
      <c r="C31" t="str">
        <f>'Point List'!L28</f>
        <v>WordAddress</v>
      </c>
      <c r="D31" t="s">
        <v>220</v>
      </c>
      <c r="E31" t="str">
        <f>'Point List'!J28</f>
        <v>412567</v>
      </c>
      <c r="K31" t="str">
        <f t="shared" si="0"/>
        <v>Real_RTD_1_Signal,,WordAddress,PLC1,412567,,</v>
      </c>
    </row>
    <row r="32" spans="1:11" x14ac:dyDescent="0.3">
      <c r="A32" t="str">
        <f>'Point List'!C29</f>
        <v>Real_RTD_2_Signal</v>
      </c>
      <c r="C32" t="str">
        <f>'Point List'!L29</f>
        <v>WordAddress</v>
      </c>
      <c r="D32" t="s">
        <v>220</v>
      </c>
      <c r="E32" t="str">
        <f>'Point List'!J29</f>
        <v>412569</v>
      </c>
      <c r="K32" t="str">
        <f t="shared" si="0"/>
        <v>Real_RTD_2_Signal,,WordAddress,PLC1,412569,,</v>
      </c>
    </row>
    <row r="33" spans="1:11" x14ac:dyDescent="0.3">
      <c r="A33" t="str">
        <f>'Point List'!C30</f>
        <v>Real_RTD_3_Signal</v>
      </c>
      <c r="C33" t="str">
        <f>'Point List'!L30</f>
        <v>WordAddress</v>
      </c>
      <c r="D33" t="s">
        <v>220</v>
      </c>
      <c r="E33" t="str">
        <f>'Point List'!J30</f>
        <v>412571</v>
      </c>
      <c r="K33" t="str">
        <f t="shared" si="0"/>
        <v>Real_RTD_3_Signal,,WordAddress,PLC1,412571,,</v>
      </c>
    </row>
    <row r="34" spans="1:11" x14ac:dyDescent="0.3">
      <c r="A34" t="str">
        <f>'Point List'!C31</f>
        <v>AVAILABLE</v>
      </c>
      <c r="C34" t="str">
        <f>'Point List'!L31</f>
        <v>WordAddress</v>
      </c>
      <c r="D34" t="s">
        <v>220</v>
      </c>
      <c r="E34" t="str">
        <f>'Point List'!J31</f>
        <v>412573</v>
      </c>
      <c r="K34" t="str">
        <f t="shared" si="0"/>
        <v>AVAILABLE,,WordAddress,PLC1,412573,,</v>
      </c>
    </row>
    <row r="35" spans="1:11" x14ac:dyDescent="0.3">
      <c r="A35" t="str">
        <f>'Point List'!C32</f>
        <v>Measured_Valve_Position_</v>
      </c>
      <c r="C35" t="str">
        <f>'Point List'!L32</f>
        <v>WordAddress</v>
      </c>
      <c r="D35" t="s">
        <v>220</v>
      </c>
      <c r="E35" t="str">
        <f>'Point List'!J32</f>
        <v>412575</v>
      </c>
      <c r="K35" t="str">
        <f t="shared" si="0"/>
        <v>Measured_Valve_Position_,,WordAddress,PLC1,412575,,</v>
      </c>
    </row>
    <row r="36" spans="1:11" x14ac:dyDescent="0.3">
      <c r="A36" t="str">
        <f>'Point List'!C33</f>
        <v>Debounced_Water_Level_Low_Signal</v>
      </c>
      <c r="C36" t="str">
        <f>'Point List'!L33</f>
        <v>WordAddress</v>
      </c>
      <c r="D36" t="s">
        <v>220</v>
      </c>
      <c r="E36" t="str">
        <f>'Point List'!J33</f>
        <v>012309</v>
      </c>
      <c r="K36" t="str">
        <f t="shared" si="0"/>
        <v>Debounced_Water_Level_Low_Signal,,WordAddress,PLC1,012309,,</v>
      </c>
    </row>
    <row r="37" spans="1:11" x14ac:dyDescent="0.3">
      <c r="A37" t="str">
        <f>'Point List'!C34</f>
        <v>Debounced_Water_Level_Low_Low_Signal</v>
      </c>
      <c r="C37">
        <f>'Point List'!L34</f>
        <v>0</v>
      </c>
      <c r="D37" t="s">
        <v>220</v>
      </c>
      <c r="E37" t="str">
        <f>'Point List'!J34</f>
        <v>012310</v>
      </c>
      <c r="K37" t="str">
        <f t="shared" si="0"/>
        <v>Debounced_Water_Level_Low_Low_Signal,,0,PLC1,012310,,</v>
      </c>
    </row>
    <row r="38" spans="1:11" x14ac:dyDescent="0.3">
      <c r="A38" t="str">
        <f>'Point List'!C35</f>
        <v>Debounced_Pressure_Signal</v>
      </c>
      <c r="C38">
        <f>'Point List'!L35</f>
        <v>0</v>
      </c>
      <c r="D38" t="s">
        <v>220</v>
      </c>
      <c r="E38" t="str">
        <f>'Point List'!J35</f>
        <v>012311</v>
      </c>
      <c r="K38" t="str">
        <f t="shared" si="0"/>
        <v>Debounced_Pressure_Signal,,0,PLC1,012311,,</v>
      </c>
    </row>
    <row r="39" spans="1:11" x14ac:dyDescent="0.3">
      <c r="A39" t="str">
        <f>'Point List'!C36</f>
        <v>Debounced_Conductivity_Alarm_Signal</v>
      </c>
      <c r="C39">
        <f>'Point List'!L36</f>
        <v>0</v>
      </c>
      <c r="D39" t="s">
        <v>220</v>
      </c>
      <c r="E39" t="str">
        <f>'Point List'!J36</f>
        <v>012312</v>
      </c>
      <c r="K39" t="str">
        <f t="shared" si="0"/>
        <v>Debounced_Conductivity_Alarm_Signal,,0,PLC1,012312,,</v>
      </c>
    </row>
    <row r="40" spans="1:11" x14ac:dyDescent="0.3">
      <c r="A40" t="str">
        <f>'Point List'!C37</f>
        <v>Debounced_Conductivity_Fault_Signal</v>
      </c>
      <c r="C40">
        <f>'Point List'!L37</f>
        <v>0</v>
      </c>
      <c r="D40" t="s">
        <v>220</v>
      </c>
      <c r="E40" t="str">
        <f>'Point List'!J37</f>
        <v>012313</v>
      </c>
      <c r="K40" t="str">
        <f t="shared" si="0"/>
        <v>Debounced_Conductivity_Fault_Signal,,0,PLC1,012313,,</v>
      </c>
    </row>
    <row r="41" spans="1:11" x14ac:dyDescent="0.3">
      <c r="A41" t="str">
        <f>'Point List'!C38</f>
        <v>Output_Water_Level_Low_Signal</v>
      </c>
      <c r="C41" t="str">
        <f>'Point List'!L38</f>
        <v>BitAddress</v>
      </c>
      <c r="D41" t="s">
        <v>220</v>
      </c>
      <c r="E41" t="str">
        <f>'Point List'!J38</f>
        <v>012314</v>
      </c>
      <c r="K41" t="str">
        <f t="shared" si="0"/>
        <v>Output_Water_Level_Low_Signal,,BitAddress,PLC1,012314,,</v>
      </c>
    </row>
    <row r="42" spans="1:11" x14ac:dyDescent="0.3">
      <c r="A42" t="str">
        <f>'Point List'!C39</f>
        <v>Output_Water_Level_Low_Low_Signal</v>
      </c>
      <c r="C42" t="str">
        <f>'Point List'!L39</f>
        <v>BitAddress</v>
      </c>
      <c r="D42" t="s">
        <v>220</v>
      </c>
      <c r="E42" t="str">
        <f>'Point List'!J39</f>
        <v>012315</v>
      </c>
      <c r="K42" t="str">
        <f t="shared" si="0"/>
        <v>Output_Water_Level_Low_Low_Signal,,BitAddress,PLC1,012315,,</v>
      </c>
    </row>
    <row r="43" spans="1:11" x14ac:dyDescent="0.3">
      <c r="A43" t="str">
        <f>'Point List'!C40</f>
        <v>Output_Pressure_Signal</v>
      </c>
      <c r="C43" t="str">
        <f>'Point List'!L40</f>
        <v>BitAddress</v>
      </c>
      <c r="D43" t="s">
        <v>220</v>
      </c>
      <c r="E43" t="str">
        <f>'Point List'!J40</f>
        <v>012316</v>
      </c>
      <c r="K43" t="str">
        <f t="shared" si="0"/>
        <v>Output_Pressure_Signal,,BitAddress,PLC1,012316,,</v>
      </c>
    </row>
    <row r="44" spans="1:11" x14ac:dyDescent="0.3">
      <c r="A44" t="str">
        <f>'Point List'!C41</f>
        <v>Output_Conductivity_Alarm_Signal</v>
      </c>
      <c r="C44" t="str">
        <f>'Point List'!L41</f>
        <v>BitAddress</v>
      </c>
      <c r="D44" t="s">
        <v>220</v>
      </c>
      <c r="E44" t="str">
        <f>'Point List'!J41</f>
        <v>012317</v>
      </c>
      <c r="K44" t="str">
        <f t="shared" si="0"/>
        <v>Output_Conductivity_Alarm_Signal,,BitAddress,PLC1,012317,,</v>
      </c>
    </row>
    <row r="45" spans="1:11" x14ac:dyDescent="0.3">
      <c r="A45" t="str">
        <f>'Point List'!C42</f>
        <v>Output_Conductivity_Fault_Signal</v>
      </c>
      <c r="C45" t="str">
        <f>'Point List'!L42</f>
        <v>BitAddress</v>
      </c>
      <c r="D45" t="s">
        <v>220</v>
      </c>
      <c r="E45" t="str">
        <f>'Point List'!J42</f>
        <v>012318</v>
      </c>
      <c r="K45" t="str">
        <f t="shared" si="0"/>
        <v>Output_Conductivity_Fault_Signal,,BitAddress,PLC1,012318,,</v>
      </c>
    </row>
    <row r="46" spans="1:11" x14ac:dyDescent="0.3">
      <c r="A46" t="str">
        <f>'Point List'!C43</f>
        <v>Differential_Pump_Hours</v>
      </c>
      <c r="C46">
        <f>'Point List'!L43</f>
        <v>0</v>
      </c>
      <c r="D46" t="s">
        <v>220</v>
      </c>
      <c r="E46" t="str">
        <f>'Point List'!J43</f>
        <v>012453</v>
      </c>
      <c r="K46" t="str">
        <f t="shared" si="0"/>
        <v>Differential_Pump_Hours,,0,PLC1,012453,,</v>
      </c>
    </row>
    <row r="47" spans="1:11" x14ac:dyDescent="0.3">
      <c r="A47" t="str">
        <f>'Point List'!C44</f>
        <v>System_Pulse</v>
      </c>
      <c r="C47">
        <f>'Point List'!L44</f>
        <v>0</v>
      </c>
      <c r="D47" t="s">
        <v>220</v>
      </c>
      <c r="E47" t="str">
        <f>'Point List'!J44</f>
        <v>012319</v>
      </c>
      <c r="K47" t="str">
        <f t="shared" si="0"/>
        <v>System_Pulse,,0,PLC1,012319,,</v>
      </c>
    </row>
    <row r="48" spans="1:11" x14ac:dyDescent="0.3">
      <c r="A48" t="str">
        <f>'Point List'!C45</f>
        <v>Measured_Active_Pump__Voltage</v>
      </c>
      <c r="C48" t="str">
        <f>'Point List'!L45</f>
        <v>WordAddress</v>
      </c>
      <c r="D48" t="s">
        <v>220</v>
      </c>
      <c r="E48" t="str">
        <f>'Point List'!J45</f>
        <v>412577</v>
      </c>
      <c r="K48" t="str">
        <f t="shared" si="0"/>
        <v>Measured_Active_Pump__Voltage,,WordAddress,PLC1,412577,,</v>
      </c>
    </row>
    <row r="49" spans="1:11" x14ac:dyDescent="0.3">
      <c r="A49" t="str">
        <f>'Point List'!C46</f>
        <v>Measured_Active_Pump__Current</v>
      </c>
      <c r="C49" t="str">
        <f>'Point List'!L46</f>
        <v>WordAddress</v>
      </c>
      <c r="D49" t="s">
        <v>220</v>
      </c>
      <c r="E49" t="str">
        <f>'Point List'!J46</f>
        <v>412579</v>
      </c>
      <c r="K49" t="str">
        <f t="shared" si="0"/>
        <v>Measured_Active_Pump__Current,,WordAddress,PLC1,412579,,</v>
      </c>
    </row>
    <row r="50" spans="1:11" x14ac:dyDescent="0.3">
      <c r="A50" t="str">
        <f>'Point List'!C47</f>
        <v>AVAILABLE</v>
      </c>
      <c r="C50" t="str">
        <f>'Point List'!L47</f>
        <v>WordAddress</v>
      </c>
      <c r="D50" t="s">
        <v>220</v>
      </c>
      <c r="E50" t="str">
        <f>'Point List'!J47</f>
        <v>412581</v>
      </c>
      <c r="K50" t="str">
        <f t="shared" si="0"/>
        <v>AVAILABLE,,WordAddress,PLC1,412581,,</v>
      </c>
    </row>
    <row r="51" spans="1:11" x14ac:dyDescent="0.3">
      <c r="A51" t="str">
        <f>'Point List'!C48</f>
        <v>AVAILABLE</v>
      </c>
      <c r="C51">
        <f>'Point List'!L48</f>
        <v>0</v>
      </c>
      <c r="D51" t="s">
        <v>220</v>
      </c>
      <c r="E51" t="str">
        <f>'Point List'!J48</f>
        <v>412583</v>
      </c>
      <c r="K51" t="str">
        <f t="shared" si="0"/>
        <v>AVAILABLE,,0,PLC1,412583,,</v>
      </c>
    </row>
    <row r="52" spans="1:11" x14ac:dyDescent="0.3">
      <c r="A52" t="str">
        <f>'Point List'!C49</f>
        <v>Pump_1_Total_Hours</v>
      </c>
      <c r="C52" t="str">
        <f>'Point List'!L49</f>
        <v>WordAddress</v>
      </c>
      <c r="D52" t="s">
        <v>220</v>
      </c>
      <c r="E52" t="str">
        <f>'Point List'!J49</f>
        <v>412455</v>
      </c>
      <c r="K52" t="str">
        <f t="shared" si="0"/>
        <v>Pump_1_Total_Hours,,WordAddress,PLC1,412455,,</v>
      </c>
    </row>
    <row r="53" spans="1:11" x14ac:dyDescent="0.3">
      <c r="A53" t="str">
        <f>'Point List'!C50</f>
        <v>Pump_2_Total_Hours</v>
      </c>
      <c r="C53" t="str">
        <f>'Point List'!L50</f>
        <v>WordAddress</v>
      </c>
      <c r="D53" t="s">
        <v>220</v>
      </c>
      <c r="E53" t="str">
        <f>'Point List'!J50</f>
        <v>412457</v>
      </c>
      <c r="K53" t="str">
        <f t="shared" si="0"/>
        <v>Pump_2_Total_Hours,,WordAddress,PLC1,412457,,</v>
      </c>
    </row>
    <row r="54" spans="1:11" x14ac:dyDescent="0.3">
      <c r="A54" t="str">
        <f>'Point List'!C51</f>
        <v>High_Coolant_Temperature_</v>
      </c>
      <c r="C54" t="str">
        <f>'Point List'!L51</f>
        <v>BitAddress</v>
      </c>
      <c r="D54" t="s">
        <v>220</v>
      </c>
      <c r="E54" t="str">
        <f>'Point List'!J51</f>
        <v>012320</v>
      </c>
      <c r="K54" t="str">
        <f t="shared" si="0"/>
        <v>High_Coolant_Temperature_,,BitAddress,PLC1,012320,,</v>
      </c>
    </row>
    <row r="55" spans="1:11" x14ac:dyDescent="0.3">
      <c r="A55" t="str">
        <f>'Point List'!C52</f>
        <v>Low_Coolant_Level_in_Vessel</v>
      </c>
      <c r="C55" t="str">
        <f>'Point List'!L52</f>
        <v>BitAddress</v>
      </c>
      <c r="D55" t="s">
        <v>220</v>
      </c>
      <c r="E55" t="str">
        <f>'Point List'!J52</f>
        <v>012321</v>
      </c>
      <c r="K55" t="str">
        <f t="shared" si="0"/>
        <v>Low_Coolant_Level_in_Vessel,,BitAddress,PLC1,012321,,</v>
      </c>
    </row>
    <row r="56" spans="1:11" x14ac:dyDescent="0.3">
      <c r="A56" t="str">
        <f>'Point List'!C53</f>
        <v>High_Coolant_Conductivity_</v>
      </c>
      <c r="C56" t="str">
        <f>'Point List'!L53</f>
        <v>BitAddress</v>
      </c>
      <c r="D56" t="s">
        <v>220</v>
      </c>
      <c r="E56" t="str">
        <f>'Point List'!J53</f>
        <v>012322</v>
      </c>
      <c r="K56" t="str">
        <f t="shared" si="0"/>
        <v>High_Coolant_Conductivity_,,BitAddress,PLC1,012322,,</v>
      </c>
    </row>
    <row r="57" spans="1:11" x14ac:dyDescent="0.3">
      <c r="A57" t="str">
        <f>'Point List'!C54</f>
        <v>Low_Hydraulic_Power</v>
      </c>
      <c r="C57" t="str">
        <f>'Point List'!L54</f>
        <v>BitAddress</v>
      </c>
      <c r="D57" t="s">
        <v>220</v>
      </c>
      <c r="E57" t="str">
        <f>'Point List'!J54</f>
        <v>012323</v>
      </c>
      <c r="K57" t="str">
        <f t="shared" si="0"/>
        <v>Low_Hydraulic_Power,,BitAddress,PLC1,012323,,</v>
      </c>
    </row>
    <row r="58" spans="1:11" x14ac:dyDescent="0.3">
      <c r="A58" t="str">
        <f>'Point List'!C55</f>
        <v>Low_Hydraulic_Flow</v>
      </c>
      <c r="C58" t="str">
        <f>'Point List'!L55</f>
        <v>BitAddress</v>
      </c>
      <c r="D58" t="s">
        <v>220</v>
      </c>
      <c r="E58" t="str">
        <f>'Point List'!J55</f>
        <v>012324</v>
      </c>
      <c r="K58" t="str">
        <f t="shared" si="0"/>
        <v>Low_Hydraulic_Flow,,BitAddress,PLC1,012324,,</v>
      </c>
    </row>
    <row r="59" spans="1:11" x14ac:dyDescent="0.3">
      <c r="A59" t="str">
        <f>'Point List'!C56</f>
        <v>Low_Hydraulic_Pressure</v>
      </c>
      <c r="C59" t="str">
        <f>'Point List'!L56</f>
        <v>BitAddress</v>
      </c>
      <c r="D59" t="s">
        <v>220</v>
      </c>
      <c r="E59" t="str">
        <f>'Point List'!J56</f>
        <v>012325</v>
      </c>
      <c r="K59" t="str">
        <f t="shared" si="0"/>
        <v>Low_Hydraulic_Pressure,,BitAddress,PLC1,012325,,</v>
      </c>
    </row>
    <row r="60" spans="1:11" x14ac:dyDescent="0.3">
      <c r="A60" t="str">
        <f>'Point List'!C57</f>
        <v>Voltage_Signal_Malfunction</v>
      </c>
      <c r="C60" t="str">
        <f>'Point List'!L57</f>
        <v>BitAddress</v>
      </c>
      <c r="D60" t="s">
        <v>220</v>
      </c>
      <c r="E60" t="str">
        <f>'Point List'!J57</f>
        <v>012326</v>
      </c>
      <c r="K60" t="str">
        <f t="shared" si="0"/>
        <v>Voltage_Signal_Malfunction,,BitAddress,PLC1,012326,,</v>
      </c>
    </row>
    <row r="61" spans="1:11" x14ac:dyDescent="0.3">
      <c r="A61" t="str">
        <f>'Point List'!C58</f>
        <v>Current_Signal_Malfunction</v>
      </c>
      <c r="C61" t="str">
        <f>'Point List'!L58</f>
        <v>BitAddress</v>
      </c>
      <c r="D61" t="s">
        <v>220</v>
      </c>
      <c r="E61" t="str">
        <f>'Point List'!J58</f>
        <v>012327</v>
      </c>
      <c r="K61" t="str">
        <f t="shared" si="0"/>
        <v>Current_Signal_Malfunction,,BitAddress,PLC1,012327,,</v>
      </c>
    </row>
    <row r="62" spans="1:11" x14ac:dyDescent="0.3">
      <c r="A62" t="str">
        <f>'Point List'!C59</f>
        <v>Primary_Hydraulic_Failure</v>
      </c>
      <c r="C62" t="str">
        <f>'Point List'!L59</f>
        <v>BitAddress</v>
      </c>
      <c r="D62" t="s">
        <v>220</v>
      </c>
      <c r="E62" t="str">
        <f>'Point List'!J59</f>
        <v>012328</v>
      </c>
      <c r="K62" t="str">
        <f t="shared" si="0"/>
        <v>Primary_Hydraulic_Failure,,BitAddress,PLC1,012328,,</v>
      </c>
    </row>
    <row r="63" spans="1:11" x14ac:dyDescent="0.3">
      <c r="A63" t="str">
        <f>'Point List'!C60</f>
        <v>Secondary_Hydraulic_Failure</v>
      </c>
      <c r="C63" t="str">
        <f>'Point List'!L60</f>
        <v>BitAddress</v>
      </c>
      <c r="D63" t="s">
        <v>220</v>
      </c>
      <c r="E63" t="str">
        <f>'Point List'!J60</f>
        <v>012329</v>
      </c>
      <c r="K63" t="str">
        <f t="shared" si="0"/>
        <v>Secondary_Hydraulic_Failure,,BitAddress,PLC1,012329,,</v>
      </c>
    </row>
    <row r="64" spans="1:11" x14ac:dyDescent="0.3">
      <c r="A64" t="str">
        <f>'Point List'!C61</f>
        <v>Automatic_Valve_Control_Disabled</v>
      </c>
      <c r="C64" t="str">
        <f>'Point List'!L61</f>
        <v>BitAddress</v>
      </c>
      <c r="D64" t="s">
        <v>220</v>
      </c>
      <c r="E64" t="str">
        <f>'Point List'!J61</f>
        <v>012330</v>
      </c>
      <c r="K64" t="str">
        <f t="shared" si="0"/>
        <v>Automatic_Valve_Control_Disabled,,BitAddress,PLC1,012330,,</v>
      </c>
    </row>
    <row r="65" spans="1:11" x14ac:dyDescent="0.3">
      <c r="A65" t="str">
        <f>'Point List'!C62</f>
        <v>Automatic_Fan_Control_Disabled</v>
      </c>
      <c r="C65" t="str">
        <f>'Point List'!L62</f>
        <v>BitAddress</v>
      </c>
      <c r="D65" t="s">
        <v>220</v>
      </c>
      <c r="E65" t="str">
        <f>'Point List'!J62</f>
        <v>012331</v>
      </c>
      <c r="K65" t="str">
        <f t="shared" si="0"/>
        <v>Automatic_Fan_Control_Disabled,,BitAddress,PLC1,012331,,</v>
      </c>
    </row>
    <row r="66" spans="1:11" x14ac:dyDescent="0.3">
      <c r="A66" t="str">
        <f>'Point List'!C63</f>
        <v>Flow_Signal_Malfunction</v>
      </c>
      <c r="C66" t="str">
        <f>'Point List'!L63</f>
        <v>BitAddress</v>
      </c>
      <c r="D66" t="s">
        <v>220</v>
      </c>
      <c r="E66" t="str">
        <f>'Point List'!J63</f>
        <v>012332</v>
      </c>
      <c r="K66" t="str">
        <f t="shared" si="0"/>
        <v>Flow_Signal_Malfunction,,BitAddress,PLC1,012332,,</v>
      </c>
    </row>
    <row r="67" spans="1:11" x14ac:dyDescent="0.3">
      <c r="A67" t="str">
        <f>'Point List'!C64</f>
        <v>Bad_RTD_1_Signal</v>
      </c>
      <c r="C67" t="str">
        <f>'Point List'!L64</f>
        <v>BitAddress</v>
      </c>
      <c r="D67" t="s">
        <v>220</v>
      </c>
      <c r="E67" t="str">
        <f>'Point List'!J64</f>
        <v>012333</v>
      </c>
      <c r="K67" t="str">
        <f t="shared" si="0"/>
        <v>Bad_RTD_1_Signal,,BitAddress,PLC1,012333,,</v>
      </c>
    </row>
    <row r="68" spans="1:11" x14ac:dyDescent="0.3">
      <c r="A68" t="str">
        <f>'Point List'!C65</f>
        <v>Bad_RTD_2_Signal</v>
      </c>
      <c r="C68" t="str">
        <f>'Point List'!L65</f>
        <v>BitAddress</v>
      </c>
      <c r="D68" t="s">
        <v>220</v>
      </c>
      <c r="E68" t="str">
        <f>'Point List'!J65</f>
        <v>012334</v>
      </c>
      <c r="K68" t="str">
        <f t="shared" si="0"/>
        <v>Bad_RTD_2_Signal,,BitAddress,PLC1,012334,,</v>
      </c>
    </row>
    <row r="69" spans="1:11" x14ac:dyDescent="0.3">
      <c r="A69" t="str">
        <f>'Point List'!C66</f>
        <v>Bad_RTD_3_Signal</v>
      </c>
      <c r="C69" t="str">
        <f>'Point List'!L66</f>
        <v>BitAddress</v>
      </c>
      <c r="D69" t="s">
        <v>220</v>
      </c>
      <c r="E69" t="str">
        <f>'Point List'!J66</f>
        <v>012335</v>
      </c>
      <c r="K69" t="str">
        <f t="shared" si="0"/>
        <v>Bad_RTD_3_Signal,,BitAddress,PLC1,012335,,</v>
      </c>
    </row>
    <row r="70" spans="1:11" x14ac:dyDescent="0.3">
      <c r="A70" t="str">
        <f>'Point List'!C67</f>
        <v>Pump_Cycle_Alarm</v>
      </c>
      <c r="C70" t="str">
        <f>'Point List'!L67</f>
        <v>BitAddress</v>
      </c>
      <c r="D70" t="s">
        <v>220</v>
      </c>
      <c r="E70" t="str">
        <f>'Point List'!J67</f>
        <v>012336</v>
      </c>
      <c r="K70" t="str">
        <f t="shared" si="0"/>
        <v>Pump_Cycle_Alarm,,BitAddress,PLC1,012336,,</v>
      </c>
    </row>
    <row r="71" spans="1:11" x14ac:dyDescent="0.3">
      <c r="A71" t="str">
        <f>'Point List'!C68</f>
        <v>Critical_Temperature</v>
      </c>
      <c r="C71" t="str">
        <f>'Point List'!L68</f>
        <v>BitAddress</v>
      </c>
      <c r="D71" t="s">
        <v>220</v>
      </c>
      <c r="E71" t="str">
        <f>'Point List'!J68</f>
        <v>012337</v>
      </c>
      <c r="K71" t="str">
        <f t="shared" ref="K71:K107" si="1">_xlfn.CONCAT(A71,",",B71,",",C71,",",D71,",",E71,",",F71,",",G71)</f>
        <v>Critical_Temperature,,BitAddress,PLC1,012337,,</v>
      </c>
    </row>
    <row r="72" spans="1:11" x14ac:dyDescent="0.3">
      <c r="A72" t="str">
        <f>'Point List'!C69</f>
        <v>Critical_Vessel_Level</v>
      </c>
      <c r="C72" t="str">
        <f>'Point List'!L69</f>
        <v>BitAddress</v>
      </c>
      <c r="D72" t="s">
        <v>220</v>
      </c>
      <c r="E72" t="str">
        <f>'Point List'!J69</f>
        <v>012338</v>
      </c>
      <c r="K72" t="str">
        <f t="shared" si="1"/>
        <v>Critical_Vessel_Level,,BitAddress,PLC1,012338,,</v>
      </c>
    </row>
    <row r="73" spans="1:11" x14ac:dyDescent="0.3">
      <c r="A73" t="str">
        <f>'Point List'!C70</f>
        <v>Critical_Conductivity</v>
      </c>
      <c r="C73" t="str">
        <f>'Point List'!L70</f>
        <v>BitAddress</v>
      </c>
      <c r="D73" t="s">
        <v>220</v>
      </c>
      <c r="E73" t="str">
        <f>'Point List'!J70</f>
        <v>012339</v>
      </c>
      <c r="K73" t="str">
        <f t="shared" si="1"/>
        <v>Critical_Conductivity,,BitAddress,PLC1,012339,,</v>
      </c>
    </row>
    <row r="74" spans="1:11" x14ac:dyDescent="0.3">
      <c r="A74" t="str">
        <f>'Point List'!C71</f>
        <v>Level_Sensor_Malfunction</v>
      </c>
      <c r="C74" t="str">
        <f>'Point List'!L71</f>
        <v>BitAddress</v>
      </c>
      <c r="D74" t="s">
        <v>220</v>
      </c>
      <c r="E74" t="str">
        <f>'Point List'!J71</f>
        <v>012340</v>
      </c>
      <c r="K74" t="str">
        <f t="shared" si="1"/>
        <v>Level_Sensor_Malfunction,,BitAddress,PLC1,012340,,</v>
      </c>
    </row>
    <row r="75" spans="1:11" x14ac:dyDescent="0.3">
      <c r="A75" t="str">
        <f>'Point List'!C72</f>
        <v>Conductivity_Sensor_Malfunction</v>
      </c>
      <c r="C75" t="str">
        <f>'Point List'!L72</f>
        <v>BitAddress</v>
      </c>
      <c r="D75" t="s">
        <v>220</v>
      </c>
      <c r="E75" t="str">
        <f>'Point List'!J72</f>
        <v>012341</v>
      </c>
      <c r="K75" t="str">
        <f t="shared" si="1"/>
        <v>Conductivity_Sensor_Malfunction,,BitAddress,PLC1,012341,,</v>
      </c>
    </row>
    <row r="76" spans="1:11" x14ac:dyDescent="0.3">
      <c r="A76" t="str">
        <f>'Point List'!C73</f>
        <v>Bingo_Pumps</v>
      </c>
      <c r="C76" t="str">
        <f>'Point List'!L73</f>
        <v>BitAddress</v>
      </c>
      <c r="D76" t="s">
        <v>220</v>
      </c>
      <c r="E76" t="str">
        <f>'Point List'!J73</f>
        <v>012342</v>
      </c>
      <c r="K76" t="str">
        <f t="shared" si="1"/>
        <v>Bingo_Pumps,,BitAddress,PLC1,012342,,</v>
      </c>
    </row>
    <row r="77" spans="1:11" x14ac:dyDescent="0.3">
      <c r="A77" t="str">
        <f>'Point List'!C74</f>
        <v>Temperature_Sensor_Malfunction</v>
      </c>
      <c r="C77" t="str">
        <f>'Point List'!L74</f>
        <v>BitAddress</v>
      </c>
      <c r="D77" t="s">
        <v>220</v>
      </c>
      <c r="E77" t="str">
        <f>'Point List'!J74</f>
        <v>012343</v>
      </c>
      <c r="K77" t="str">
        <f t="shared" si="1"/>
        <v>Temperature_Sensor_Malfunction,,BitAddress,PLC1,012343,,</v>
      </c>
    </row>
    <row r="78" spans="1:11" x14ac:dyDescent="0.3">
      <c r="A78" t="str">
        <f>'Point List'!C75</f>
        <v>Bad_Valve_Pos</v>
      </c>
      <c r="C78" t="str">
        <f>'Point List'!L75</f>
        <v>BitAddress</v>
      </c>
      <c r="D78" t="s">
        <v>220</v>
      </c>
      <c r="E78" t="str">
        <f>'Point List'!J75</f>
        <v>012344</v>
      </c>
      <c r="K78" t="str">
        <f t="shared" si="1"/>
        <v>Bad_Valve_Pos,,BitAddress,PLC1,012344,,</v>
      </c>
    </row>
    <row r="79" spans="1:11" x14ac:dyDescent="0.3">
      <c r="A79" t="str">
        <f>'Point List'!C76</f>
        <v>Master_Fault_Signal</v>
      </c>
      <c r="C79" t="str">
        <f>'Point List'!L76</f>
        <v>BitAddress</v>
      </c>
      <c r="D79" t="s">
        <v>220</v>
      </c>
      <c r="E79" t="str">
        <f>'Point List'!J76</f>
        <v>012345</v>
      </c>
      <c r="K79" t="str">
        <f t="shared" si="1"/>
        <v>Master_Fault_Signal,,BitAddress,PLC1,012345,,</v>
      </c>
    </row>
    <row r="80" spans="1:11" x14ac:dyDescent="0.3">
      <c r="A80" t="str">
        <f>'Point List'!C77</f>
        <v>Conductivity_Analog</v>
      </c>
      <c r="C80">
        <f>'Point List'!L77</f>
        <v>0</v>
      </c>
      <c r="D80" t="s">
        <v>220</v>
      </c>
      <c r="E80" t="str">
        <f>'Point List'!J77</f>
        <v>NOT ACCESSIBLE</v>
      </c>
      <c r="K80" t="str">
        <f t="shared" si="1"/>
        <v>Conductivity_Analog,,0,PLC1,NOT ACCESSIBLE,,</v>
      </c>
    </row>
    <row r="81" spans="1:11" x14ac:dyDescent="0.3">
      <c r="A81" t="str">
        <f>'Point List'!C78</f>
        <v>RTD_1</v>
      </c>
      <c r="C81">
        <f>'Point List'!L78</f>
        <v>0</v>
      </c>
      <c r="D81" t="s">
        <v>220</v>
      </c>
      <c r="E81" t="str">
        <f>'Point List'!J78</f>
        <v>NOT ACCESSIBLE</v>
      </c>
      <c r="K81" t="str">
        <f t="shared" si="1"/>
        <v>RTD_1,,0,PLC1,NOT ACCESSIBLE,,</v>
      </c>
    </row>
    <row r="82" spans="1:11" x14ac:dyDescent="0.3">
      <c r="A82" t="str">
        <f>'Point List'!C79</f>
        <v>RTD_2</v>
      </c>
      <c r="C82">
        <f>'Point List'!L79</f>
        <v>0</v>
      </c>
      <c r="D82" t="s">
        <v>220</v>
      </c>
      <c r="E82" t="str">
        <f>'Point List'!J79</f>
        <v>NOT ACCESSIBLE</v>
      </c>
      <c r="K82" t="str">
        <f t="shared" si="1"/>
        <v>RTD_2,,0,PLC1,NOT ACCESSIBLE,,</v>
      </c>
    </row>
    <row r="83" spans="1:11" x14ac:dyDescent="0.3">
      <c r="A83" t="str">
        <f>'Point List'!C80</f>
        <v>RTD_3</v>
      </c>
      <c r="C83">
        <f>'Point List'!L80</f>
        <v>0</v>
      </c>
      <c r="D83" t="s">
        <v>220</v>
      </c>
      <c r="E83" t="str">
        <f>'Point List'!J80</f>
        <v>NOT ACCESSIBLE</v>
      </c>
      <c r="K83" t="str">
        <f t="shared" si="1"/>
        <v>RTD_3,,0,PLC1,NOT ACCESSIBLE,,</v>
      </c>
    </row>
    <row r="84" spans="1:11" x14ac:dyDescent="0.3">
      <c r="A84" t="str">
        <f>'Point List'!C81</f>
        <v>AVAILABLE</v>
      </c>
      <c r="C84">
        <f>'Point List'!L81</f>
        <v>0</v>
      </c>
      <c r="D84" t="s">
        <v>220</v>
      </c>
      <c r="E84" t="str">
        <f>'Point List'!J81</f>
        <v>NOT ACCESSIBLE</v>
      </c>
      <c r="K84" t="str">
        <f t="shared" si="1"/>
        <v>AVAILABLE,,0,PLC1,NOT ACCESSIBLE,,</v>
      </c>
    </row>
    <row r="85" spans="1:11" x14ac:dyDescent="0.3">
      <c r="A85" t="str">
        <f>'Point List'!C82</f>
        <v>AVAILABLE</v>
      </c>
      <c r="C85">
        <f>'Point List'!L82</f>
        <v>0</v>
      </c>
      <c r="D85" t="s">
        <v>220</v>
      </c>
      <c r="E85" t="str">
        <f>'Point List'!J82</f>
        <v>NOT ACCESSIBLE</v>
      </c>
      <c r="K85" t="str">
        <f t="shared" si="1"/>
        <v>AVAILABLE,,0,PLC1,NOT ACCESSIBLE,,</v>
      </c>
    </row>
    <row r="86" spans="1:11" x14ac:dyDescent="0.3">
      <c r="A86" t="str">
        <f>'Point List'!C83</f>
        <v>Flow_Analog</v>
      </c>
      <c r="C86">
        <f>'Point List'!L83</f>
        <v>0</v>
      </c>
      <c r="D86" t="s">
        <v>220</v>
      </c>
      <c r="E86" t="str">
        <f>'Point List'!J83</f>
        <v>NOT ACCESSIBLE</v>
      </c>
      <c r="K86" t="str">
        <f t="shared" si="1"/>
        <v>Flow_Analog,,0,PLC1,NOT ACCESSIBLE,,</v>
      </c>
    </row>
    <row r="87" spans="1:11" x14ac:dyDescent="0.3">
      <c r="A87" t="str">
        <f>'Point List'!C84</f>
        <v>Conductivity_Alarm</v>
      </c>
      <c r="C87">
        <f>'Point List'!L84</f>
        <v>0</v>
      </c>
      <c r="D87" t="s">
        <v>220</v>
      </c>
      <c r="E87" t="str">
        <f>'Point List'!J84</f>
        <v>NOT ACCESSIBLE</v>
      </c>
      <c r="K87" t="str">
        <f t="shared" si="1"/>
        <v>Conductivity_Alarm,,0,PLC1,NOT ACCESSIBLE,,</v>
      </c>
    </row>
    <row r="88" spans="1:11" x14ac:dyDescent="0.3">
      <c r="A88" t="str">
        <f>'Point List'!C85</f>
        <v>Conductivity_Fault</v>
      </c>
      <c r="C88">
        <f>'Point List'!L85</f>
        <v>0</v>
      </c>
      <c r="D88" t="s">
        <v>220</v>
      </c>
      <c r="E88" t="str">
        <f>'Point List'!J85</f>
        <v>NOT ACCESSIBLE</v>
      </c>
      <c r="K88" t="str">
        <f t="shared" si="1"/>
        <v>Conductivity_Fault,,0,PLC1,NOT ACCESSIBLE,,</v>
      </c>
    </row>
    <row r="89" spans="1:11" x14ac:dyDescent="0.3">
      <c r="A89" t="str">
        <f>'Point List'!C86</f>
        <v>Level_Low_Switch</v>
      </c>
      <c r="C89">
        <f>'Point List'!L86</f>
        <v>0</v>
      </c>
      <c r="D89" t="s">
        <v>220</v>
      </c>
      <c r="E89" t="str">
        <f>'Point List'!J86</f>
        <v>NOT ACCESSIBLE</v>
      </c>
      <c r="K89" t="str">
        <f t="shared" si="1"/>
        <v>Level_Low_Switch,,0,PLC1,NOT ACCESSIBLE,,</v>
      </c>
    </row>
    <row r="90" spans="1:11" x14ac:dyDescent="0.3">
      <c r="A90" t="str">
        <f>'Point List'!C87</f>
        <v>Level_Low_Low_Switch</v>
      </c>
      <c r="C90">
        <f>'Point List'!L87</f>
        <v>0</v>
      </c>
      <c r="D90" t="s">
        <v>220</v>
      </c>
      <c r="E90" t="str">
        <f>'Point List'!J87</f>
        <v>NOT ACCESSIBLE</v>
      </c>
      <c r="K90" t="str">
        <f t="shared" si="1"/>
        <v>Level_Low_Low_Switch,,0,PLC1,NOT ACCESSIBLE,,</v>
      </c>
    </row>
    <row r="91" spans="1:11" x14ac:dyDescent="0.3">
      <c r="A91" t="str">
        <f>'Point List'!C88</f>
        <v>Fan_1_Enable</v>
      </c>
      <c r="C91">
        <f>'Point List'!L88</f>
        <v>0</v>
      </c>
      <c r="D91" t="s">
        <v>220</v>
      </c>
      <c r="E91" t="str">
        <f>'Point List'!J88</f>
        <v>NOT ACCESSIBLE</v>
      </c>
      <c r="K91" t="str">
        <f t="shared" si="1"/>
        <v>Fan_1_Enable,,0,PLC1,NOT ACCESSIBLE,,</v>
      </c>
    </row>
    <row r="92" spans="1:11" x14ac:dyDescent="0.3">
      <c r="A92" t="str">
        <f>'Point List'!C89</f>
        <v>Fan_2_Enable</v>
      </c>
      <c r="C92">
        <f>'Point List'!L89</f>
        <v>0</v>
      </c>
      <c r="D92" t="s">
        <v>220</v>
      </c>
      <c r="E92" t="str">
        <f>'Point List'!J89</f>
        <v>NOT ACCESSIBLE</v>
      </c>
      <c r="K92" t="str">
        <f t="shared" si="1"/>
        <v>Fan_2_Enable,,0,PLC1,NOT ACCESSIBLE,,</v>
      </c>
    </row>
    <row r="93" spans="1:11" x14ac:dyDescent="0.3">
      <c r="A93" t="str">
        <f>'Point List'!C90</f>
        <v>Pump_1_Enable</v>
      </c>
      <c r="C93">
        <f>'Point List'!L90</f>
        <v>0</v>
      </c>
      <c r="D93" t="s">
        <v>220</v>
      </c>
      <c r="E93" t="str">
        <f>'Point List'!J90</f>
        <v>NOT ACCESSIBLE</v>
      </c>
      <c r="K93" t="str">
        <f t="shared" si="1"/>
        <v>Pump_1_Enable,,0,PLC1,NOT ACCESSIBLE,,</v>
      </c>
    </row>
    <row r="94" spans="1:11" x14ac:dyDescent="0.3">
      <c r="A94" t="str">
        <f>'Point List'!C91</f>
        <v>Pump_2_Enable</v>
      </c>
      <c r="C94">
        <f>'Point List'!L91</f>
        <v>0</v>
      </c>
      <c r="D94" t="s">
        <v>220</v>
      </c>
      <c r="E94" t="str">
        <f>'Point List'!J91</f>
        <v>NOT ACCESSIBLE</v>
      </c>
      <c r="K94" t="str">
        <f t="shared" si="1"/>
        <v>Pump_2_Enable,,0,PLC1,NOT ACCESSIBLE,,</v>
      </c>
    </row>
    <row r="95" spans="1:11" x14ac:dyDescent="0.3">
      <c r="A95" t="str">
        <f>'Point List'!C92</f>
        <v>Valve_Actuation_Signal</v>
      </c>
      <c r="C95">
        <f>'Point List'!L92</f>
        <v>0</v>
      </c>
      <c r="D95" t="s">
        <v>220</v>
      </c>
      <c r="E95" t="str">
        <f>'Point List'!J92</f>
        <v>NOT ACCESSIBLE</v>
      </c>
      <c r="K95" t="str">
        <f t="shared" si="1"/>
        <v>Valve_Actuation_Signal,,0,PLC1,NOT ACCESSIBLE,,</v>
      </c>
    </row>
    <row r="96" spans="1:11" x14ac:dyDescent="0.3">
      <c r="A96" t="str">
        <f>'Point List'!C93</f>
        <v>Pressure_Switch_Signal</v>
      </c>
      <c r="C96">
        <f>'Point List'!L93</f>
        <v>0</v>
      </c>
      <c r="D96" t="s">
        <v>220</v>
      </c>
      <c r="E96" t="str">
        <f>'Point List'!J93</f>
        <v>NOT ACCESSIBLE</v>
      </c>
      <c r="K96" t="str">
        <f t="shared" si="1"/>
        <v>Pressure_Switch_Signal,,0,PLC1,NOT ACCESSIBLE,,</v>
      </c>
    </row>
    <row r="97" spans="1:11" x14ac:dyDescent="0.3">
      <c r="A97" t="str">
        <f>'Point List'!C94</f>
        <v>Active_Pump__Current</v>
      </c>
      <c r="C97">
        <f>'Point List'!L94</f>
        <v>0</v>
      </c>
      <c r="D97" t="s">
        <v>220</v>
      </c>
      <c r="E97" t="str">
        <f>'Point List'!J94</f>
        <v>NOT ACCESSIBLE</v>
      </c>
      <c r="K97" t="str">
        <f t="shared" si="1"/>
        <v>Active_Pump__Current,,0,PLC1,NOT ACCESSIBLE,,</v>
      </c>
    </row>
    <row r="98" spans="1:11" x14ac:dyDescent="0.3">
      <c r="A98" t="str">
        <f>'Point List'!C95</f>
        <v>Active_Pump__Voltage</v>
      </c>
      <c r="C98">
        <f>'Point List'!L95</f>
        <v>0</v>
      </c>
      <c r="D98" t="s">
        <v>220</v>
      </c>
      <c r="E98" t="str">
        <f>'Point List'!J95</f>
        <v>NOT ACCESSIBLE</v>
      </c>
      <c r="K98" t="str">
        <f t="shared" si="1"/>
        <v>Active_Pump__Voltage,,0,PLC1,NOT ACCESSIBLE,,</v>
      </c>
    </row>
    <row r="99" spans="1:11" x14ac:dyDescent="0.3">
      <c r="A99" t="str">
        <f>'Point List'!C96</f>
        <v>Valve_Feedback_Signal</v>
      </c>
      <c r="C99">
        <f>'Point List'!L96</f>
        <v>0</v>
      </c>
      <c r="D99" t="s">
        <v>220</v>
      </c>
      <c r="E99" t="str">
        <f>'Point List'!J96</f>
        <v>NOT ACCESSIBLE</v>
      </c>
      <c r="K99" t="str">
        <f t="shared" si="1"/>
        <v>Valve_Feedback_Signal,,0,PLC1,NOT ACCESSIBLE,,</v>
      </c>
    </row>
    <row r="100" spans="1:11" x14ac:dyDescent="0.3">
      <c r="A100" t="str">
        <f>'Point List'!C97</f>
        <v>AVAILABLE</v>
      </c>
      <c r="C100">
        <f>'Point List'!L97</f>
        <v>0</v>
      </c>
      <c r="D100" t="s">
        <v>220</v>
      </c>
      <c r="E100" t="str">
        <f>'Point List'!J97</f>
        <v>NOT ACCESSIBLE</v>
      </c>
      <c r="K100" t="str">
        <f t="shared" si="1"/>
        <v>AVAILABLE,,0,PLC1,NOT ACCESSIBLE,,</v>
      </c>
    </row>
    <row r="101" spans="1:11" x14ac:dyDescent="0.3">
      <c r="A101" t="str">
        <f>'Point List'!C98</f>
        <v>Primary_Pump_Active</v>
      </c>
      <c r="C101" t="str">
        <f>'Point List'!L98</f>
        <v>BitAddress</v>
      </c>
      <c r="D101" t="s">
        <v>220</v>
      </c>
      <c r="E101" t="str">
        <f>'Point List'!J98</f>
        <v>012346</v>
      </c>
      <c r="K101" t="str">
        <f t="shared" si="1"/>
        <v>Primary_Pump_Active,,BitAddress,PLC1,012346,,</v>
      </c>
    </row>
    <row r="102" spans="1:11" x14ac:dyDescent="0.3">
      <c r="A102" t="str">
        <f>'Point List'!C99</f>
        <v>Secondary_Pump__Active</v>
      </c>
      <c r="C102" t="str">
        <f>'Point List'!L99</f>
        <v>BitAddress</v>
      </c>
      <c r="D102" t="s">
        <v>220</v>
      </c>
      <c r="E102" t="str">
        <f>'Point List'!J99</f>
        <v>012347</v>
      </c>
      <c r="K102" t="str">
        <f t="shared" si="1"/>
        <v>Secondary_Pump__Active,,BitAddress,PLC1,012347,,</v>
      </c>
    </row>
    <row r="103" spans="1:11" x14ac:dyDescent="0.3">
      <c r="A103" t="str">
        <f>'Point List'!C100</f>
        <v>Simplex_Mode_Active</v>
      </c>
      <c r="C103" t="str">
        <f>'Point List'!L100</f>
        <v>BitAddress</v>
      </c>
      <c r="D103" t="s">
        <v>220</v>
      </c>
      <c r="E103" t="str">
        <f>'Point List'!J100</f>
        <v>012348</v>
      </c>
      <c r="K103" t="str">
        <f t="shared" si="1"/>
        <v>Simplex_Mode_Active,,BitAddress,PLC1,012348,,</v>
      </c>
    </row>
    <row r="104" spans="1:11" x14ac:dyDescent="0.3">
      <c r="A104" t="str">
        <f>'Point List'!C101</f>
        <v>Fan_1_Active</v>
      </c>
      <c r="C104" t="str">
        <f>'Point List'!L101</f>
        <v>BitAddress</v>
      </c>
      <c r="D104" t="s">
        <v>220</v>
      </c>
      <c r="E104" t="str">
        <f>'Point List'!J101</f>
        <v>012349</v>
      </c>
      <c r="K104" t="str">
        <f t="shared" si="1"/>
        <v>Fan_1_Active,,BitAddress,PLC1,012349,,</v>
      </c>
    </row>
    <row r="105" spans="1:11" x14ac:dyDescent="0.3">
      <c r="A105" t="str">
        <f>'Point List'!C102</f>
        <v>Fan_2_Active</v>
      </c>
      <c r="C105" t="str">
        <f>'Point List'!L102</f>
        <v>BitAddress</v>
      </c>
      <c r="D105" t="s">
        <v>220</v>
      </c>
      <c r="E105" t="str">
        <f>'Point List'!J102</f>
        <v>012350</v>
      </c>
      <c r="K105" t="str">
        <f t="shared" si="1"/>
        <v>Fan_2_Active,,BitAddress,PLC1,012350,,</v>
      </c>
    </row>
    <row r="106" spans="1:11" x14ac:dyDescent="0.3">
      <c r="A106" t="str">
        <f>'Point List'!C103</f>
        <v>Enable_Pump_Cycling</v>
      </c>
      <c r="C106" t="str">
        <f>'Point List'!L103</f>
        <v>BitAddress</v>
      </c>
      <c r="D106" t="s">
        <v>220</v>
      </c>
      <c r="E106" t="str">
        <f>'Point List'!J103</f>
        <v>012351</v>
      </c>
      <c r="K106" t="str">
        <f t="shared" si="1"/>
        <v>Enable_Pump_Cycling,,BitAddress,PLC1,012351,,</v>
      </c>
    </row>
    <row r="107" spans="1:11" x14ac:dyDescent="0.3">
      <c r="A107" t="str">
        <f>'Point List'!C104</f>
        <v>System_Diagnostics</v>
      </c>
      <c r="C107" t="str">
        <f>'Point List'!L104</f>
        <v>BitAddress</v>
      </c>
      <c r="D107" t="s">
        <v>220</v>
      </c>
      <c r="E107" t="str">
        <f>'Point List'!J104</f>
        <v>012352</v>
      </c>
      <c r="K107" t="str">
        <f t="shared" si="1"/>
        <v>System_Diagnostics,,BitAddress,PLC1,012352,,</v>
      </c>
    </row>
    <row r="108" spans="1:11" x14ac:dyDescent="0.3">
      <c r="A108" t="str">
        <f>'Point List'!C105</f>
        <v>Status_Indicator_Text</v>
      </c>
      <c r="C108" t="str">
        <f>'Point List'!L105</f>
        <v>WordAddress</v>
      </c>
      <c r="D108" t="s">
        <v>220</v>
      </c>
      <c r="E108" t="str">
        <f>'Point List'!J105</f>
        <v>412683</v>
      </c>
    </row>
    <row r="109" spans="1:11" x14ac:dyDescent="0.3">
      <c r="A109">
        <f>'Point List'!C106</f>
        <v>0</v>
      </c>
      <c r="C109">
        <f>'Point List'!L106</f>
        <v>0</v>
      </c>
      <c r="D109" t="s">
        <v>220</v>
      </c>
      <c r="E109">
        <f>'Point List'!J106</f>
        <v>0</v>
      </c>
    </row>
    <row r="110" spans="1:11" x14ac:dyDescent="0.3">
      <c r="A110">
        <f>'Point List'!C107</f>
        <v>0</v>
      </c>
      <c r="C110">
        <f>'Point List'!L107</f>
        <v>0</v>
      </c>
      <c r="D110" t="s">
        <v>220</v>
      </c>
      <c r="E110">
        <f>'Point List'!J107</f>
        <v>0</v>
      </c>
    </row>
    <row r="111" spans="1:11" x14ac:dyDescent="0.3">
      <c r="A111">
        <f>'Point List'!C108</f>
        <v>0</v>
      </c>
      <c r="C111">
        <f>'Point List'!L108</f>
        <v>0</v>
      </c>
      <c r="D111" t="s">
        <v>220</v>
      </c>
      <c r="E111">
        <f>'Point List'!J108</f>
        <v>0</v>
      </c>
    </row>
    <row r="112" spans="1:11" x14ac:dyDescent="0.3">
      <c r="A112">
        <f>'Point List'!C109</f>
        <v>0</v>
      </c>
      <c r="C112">
        <f>'Point List'!L109</f>
        <v>0</v>
      </c>
      <c r="D112" t="s">
        <v>220</v>
      </c>
      <c r="E112">
        <f>'Point List'!J109</f>
        <v>0</v>
      </c>
    </row>
    <row r="113" spans="1:5" x14ac:dyDescent="0.3">
      <c r="A113">
        <f>'Point List'!C110</f>
        <v>0</v>
      </c>
      <c r="C113">
        <f>'Point List'!L110</f>
        <v>0</v>
      </c>
      <c r="D113" t="s">
        <v>220</v>
      </c>
      <c r="E113">
        <f>'Point List'!J110</f>
        <v>0</v>
      </c>
    </row>
    <row r="114" spans="1:5" x14ac:dyDescent="0.3">
      <c r="A114">
        <f>'Point List'!C111</f>
        <v>0</v>
      </c>
      <c r="C114">
        <f>'Point List'!L111</f>
        <v>0</v>
      </c>
      <c r="D114" t="s">
        <v>220</v>
      </c>
      <c r="E114">
        <f>'Point List'!J111</f>
        <v>0</v>
      </c>
    </row>
    <row r="115" spans="1:5" x14ac:dyDescent="0.3">
      <c r="A115">
        <f>'Point List'!C112</f>
        <v>0</v>
      </c>
      <c r="C115">
        <f>'Point List'!L112</f>
        <v>0</v>
      </c>
      <c r="D115" t="s">
        <v>220</v>
      </c>
      <c r="E115">
        <f>'Point List'!J112</f>
        <v>0</v>
      </c>
    </row>
    <row r="116" spans="1:5" x14ac:dyDescent="0.3">
      <c r="A116">
        <f>'Point List'!C113</f>
        <v>0</v>
      </c>
      <c r="C116">
        <f>'Point List'!L113</f>
        <v>0</v>
      </c>
      <c r="D116" t="s">
        <v>220</v>
      </c>
      <c r="E116">
        <f>'Point List'!J113</f>
        <v>0</v>
      </c>
    </row>
    <row r="117" spans="1:5" x14ac:dyDescent="0.3">
      <c r="A117">
        <f>'Point List'!C114</f>
        <v>0</v>
      </c>
      <c r="C117">
        <f>'Point List'!L114</f>
        <v>0</v>
      </c>
      <c r="D117" t="s">
        <v>220</v>
      </c>
      <c r="E117">
        <f>'Point List'!J114</f>
        <v>0</v>
      </c>
    </row>
    <row r="118" spans="1:5" x14ac:dyDescent="0.3">
      <c r="A118">
        <f>'Point List'!C115</f>
        <v>0</v>
      </c>
      <c r="C118">
        <f>'Point List'!L115</f>
        <v>0</v>
      </c>
      <c r="D118" t="s">
        <v>220</v>
      </c>
      <c r="E118">
        <f>'Point List'!J115</f>
        <v>0</v>
      </c>
    </row>
    <row r="119" spans="1:5" x14ac:dyDescent="0.3">
      <c r="A119">
        <f>'Point List'!C116</f>
        <v>0</v>
      </c>
      <c r="C119">
        <f>'Point List'!L116</f>
        <v>0</v>
      </c>
      <c r="D119" t="s">
        <v>220</v>
      </c>
      <c r="E119">
        <f>'Point List'!J116</f>
        <v>0</v>
      </c>
    </row>
    <row r="120" spans="1:5" x14ac:dyDescent="0.3">
      <c r="A120">
        <f>'Point List'!C117</f>
        <v>0</v>
      </c>
      <c r="C120">
        <f>'Point List'!L117</f>
        <v>0</v>
      </c>
      <c r="D120" t="s">
        <v>220</v>
      </c>
      <c r="E120">
        <f>'Point List'!J117</f>
        <v>0</v>
      </c>
    </row>
    <row r="121" spans="1:5" x14ac:dyDescent="0.3">
      <c r="A121">
        <f>'Point List'!C118</f>
        <v>0</v>
      </c>
      <c r="C121">
        <f>'Point List'!L118</f>
        <v>0</v>
      </c>
      <c r="D121" t="s">
        <v>220</v>
      </c>
      <c r="E121">
        <f>'Point List'!J118</f>
        <v>0</v>
      </c>
    </row>
    <row r="122" spans="1:5" x14ac:dyDescent="0.3">
      <c r="A122">
        <f>'Point List'!C119</f>
        <v>0</v>
      </c>
      <c r="C122">
        <f>'Point List'!L119</f>
        <v>0</v>
      </c>
      <c r="D122" t="s">
        <v>220</v>
      </c>
      <c r="E122">
        <f>'Point List'!J119</f>
        <v>0</v>
      </c>
    </row>
    <row r="123" spans="1:5" x14ac:dyDescent="0.3">
      <c r="A123">
        <f>'Point List'!C120</f>
        <v>0</v>
      </c>
      <c r="C123">
        <f>'Point List'!L120</f>
        <v>0</v>
      </c>
      <c r="D123" t="s">
        <v>220</v>
      </c>
      <c r="E123">
        <f>'Point List'!J120</f>
        <v>0</v>
      </c>
    </row>
    <row r="124" spans="1:5" x14ac:dyDescent="0.3">
      <c r="A124">
        <f>'Point List'!C121</f>
        <v>0</v>
      </c>
      <c r="C124">
        <f>'Point List'!L121</f>
        <v>0</v>
      </c>
      <c r="D124" t="s">
        <v>220</v>
      </c>
      <c r="E124">
        <f>'Point List'!J121</f>
        <v>0</v>
      </c>
    </row>
    <row r="125" spans="1:5" x14ac:dyDescent="0.3">
      <c r="A125">
        <f>'Point List'!C122</f>
        <v>0</v>
      </c>
      <c r="C125">
        <f>'Point List'!L122</f>
        <v>0</v>
      </c>
      <c r="D125" t="s">
        <v>220</v>
      </c>
      <c r="E125">
        <f>'Point List'!J122</f>
        <v>0</v>
      </c>
    </row>
    <row r="126" spans="1:5" x14ac:dyDescent="0.3">
      <c r="A126">
        <f>'Point List'!C123</f>
        <v>0</v>
      </c>
      <c r="C126">
        <f>'Point List'!L123</f>
        <v>0</v>
      </c>
      <c r="D126" t="s">
        <v>220</v>
      </c>
      <c r="E126">
        <f>'Point List'!J123</f>
        <v>0</v>
      </c>
    </row>
    <row r="127" spans="1:5" x14ac:dyDescent="0.3">
      <c r="A127">
        <f>'Point List'!C124</f>
        <v>0</v>
      </c>
      <c r="C127">
        <f>'Point List'!L124</f>
        <v>0</v>
      </c>
      <c r="D127" t="s">
        <v>220</v>
      </c>
      <c r="E127">
        <f>'Point List'!J124</f>
        <v>0</v>
      </c>
    </row>
    <row r="128" spans="1:5" x14ac:dyDescent="0.3">
      <c r="A128">
        <f>'Point List'!C125</f>
        <v>0</v>
      </c>
      <c r="C128">
        <f>'Point List'!L125</f>
        <v>0</v>
      </c>
      <c r="D128" t="s">
        <v>220</v>
      </c>
      <c r="E128">
        <f>'Point List'!J125</f>
        <v>0</v>
      </c>
    </row>
    <row r="129" spans="1:5" x14ac:dyDescent="0.3">
      <c r="A129">
        <f>'Point List'!C126</f>
        <v>0</v>
      </c>
      <c r="C129">
        <f>'Point List'!L126</f>
        <v>0</v>
      </c>
      <c r="D129" t="s">
        <v>220</v>
      </c>
      <c r="E129">
        <f>'Point List'!J126</f>
        <v>0</v>
      </c>
    </row>
    <row r="130" spans="1:5" x14ac:dyDescent="0.3">
      <c r="A130">
        <f>'Point List'!C127</f>
        <v>0</v>
      </c>
      <c r="C130">
        <f>'Point List'!L127</f>
        <v>0</v>
      </c>
      <c r="D130" t="s">
        <v>220</v>
      </c>
      <c r="E130">
        <f>'Point List'!J127</f>
        <v>0</v>
      </c>
    </row>
    <row r="131" spans="1:5" x14ac:dyDescent="0.3">
      <c r="A131">
        <f>'Point List'!C128</f>
        <v>0</v>
      </c>
      <c r="C131">
        <f>'Point List'!L128</f>
        <v>0</v>
      </c>
      <c r="D131" t="s">
        <v>220</v>
      </c>
      <c r="E131">
        <f>'Point List'!J128</f>
        <v>0</v>
      </c>
    </row>
    <row r="132" spans="1:5" x14ac:dyDescent="0.3">
      <c r="A132">
        <f>'Point List'!C129</f>
        <v>0</v>
      </c>
      <c r="C132">
        <f>'Point List'!L129</f>
        <v>0</v>
      </c>
      <c r="D132" t="s">
        <v>220</v>
      </c>
      <c r="E132">
        <f>'Point List'!J129</f>
        <v>0</v>
      </c>
    </row>
    <row r="133" spans="1:5" x14ac:dyDescent="0.3">
      <c r="A133">
        <f>'Point List'!C130</f>
        <v>0</v>
      </c>
      <c r="C133">
        <f>'Point List'!L130</f>
        <v>0</v>
      </c>
      <c r="D133" t="s">
        <v>220</v>
      </c>
      <c r="E133">
        <f>'Point List'!J130</f>
        <v>0</v>
      </c>
    </row>
    <row r="134" spans="1:5" x14ac:dyDescent="0.3">
      <c r="A134">
        <f>'Point List'!C131</f>
        <v>0</v>
      </c>
      <c r="C134">
        <f>'Point List'!L131</f>
        <v>0</v>
      </c>
      <c r="D134" t="s">
        <v>220</v>
      </c>
      <c r="E134">
        <f>'Point List'!J131</f>
        <v>0</v>
      </c>
    </row>
    <row r="135" spans="1:5" x14ac:dyDescent="0.3">
      <c r="A135">
        <f>'Point List'!C132</f>
        <v>0</v>
      </c>
      <c r="C135">
        <f>'Point List'!L132</f>
        <v>0</v>
      </c>
      <c r="D135" t="s">
        <v>220</v>
      </c>
      <c r="E135">
        <f>'Point List'!J132</f>
        <v>0</v>
      </c>
    </row>
    <row r="136" spans="1:5" x14ac:dyDescent="0.3">
      <c r="A136">
        <f>'Point List'!C133</f>
        <v>0</v>
      </c>
      <c r="C136">
        <f>'Point List'!L133</f>
        <v>0</v>
      </c>
      <c r="D136" t="s">
        <v>220</v>
      </c>
      <c r="E136">
        <f>'Point List'!J133</f>
        <v>0</v>
      </c>
    </row>
    <row r="137" spans="1:5" x14ac:dyDescent="0.3">
      <c r="A137">
        <f>'Point List'!C134</f>
        <v>0</v>
      </c>
      <c r="C137">
        <f>'Point List'!L134</f>
        <v>0</v>
      </c>
      <c r="D137" t="s">
        <v>220</v>
      </c>
      <c r="E137">
        <f>'Point List'!J134</f>
        <v>0</v>
      </c>
    </row>
    <row r="138" spans="1:5" x14ac:dyDescent="0.3">
      <c r="A138">
        <f>'Point List'!C135</f>
        <v>0</v>
      </c>
      <c r="C138">
        <f>'Point List'!L135</f>
        <v>0</v>
      </c>
      <c r="D138" t="s">
        <v>220</v>
      </c>
      <c r="E138">
        <f>'Point List'!J135</f>
        <v>0</v>
      </c>
    </row>
    <row r="139" spans="1:5" x14ac:dyDescent="0.3">
      <c r="A139">
        <f>'Point List'!C136</f>
        <v>0</v>
      </c>
      <c r="C139">
        <f>'Point List'!L136</f>
        <v>0</v>
      </c>
      <c r="D139" t="s">
        <v>220</v>
      </c>
      <c r="E139">
        <f>'Point List'!J136</f>
        <v>0</v>
      </c>
    </row>
    <row r="140" spans="1:5" x14ac:dyDescent="0.3">
      <c r="A140">
        <f>'Point List'!C137</f>
        <v>0</v>
      </c>
      <c r="C140">
        <f>'Point List'!L137</f>
        <v>0</v>
      </c>
      <c r="D140" t="s">
        <v>220</v>
      </c>
      <c r="E140">
        <f>'Point List'!J137</f>
        <v>0</v>
      </c>
    </row>
    <row r="141" spans="1:5" x14ac:dyDescent="0.3">
      <c r="A141">
        <f>'Point List'!C138</f>
        <v>0</v>
      </c>
      <c r="C141">
        <f>'Point List'!L138</f>
        <v>0</v>
      </c>
      <c r="D141" t="s">
        <v>220</v>
      </c>
      <c r="E141">
        <f>'Point List'!J138</f>
        <v>0</v>
      </c>
    </row>
    <row r="142" spans="1:5" x14ac:dyDescent="0.3">
      <c r="A142">
        <f>'Point List'!C139</f>
        <v>0</v>
      </c>
      <c r="C142">
        <f>'Point List'!L139</f>
        <v>0</v>
      </c>
      <c r="D142" t="s">
        <v>220</v>
      </c>
      <c r="E142">
        <f>'Point List'!J139</f>
        <v>0</v>
      </c>
    </row>
    <row r="143" spans="1:5" x14ac:dyDescent="0.3">
      <c r="A143">
        <f>'Point List'!C140</f>
        <v>0</v>
      </c>
      <c r="C143">
        <f>'Point List'!L140</f>
        <v>0</v>
      </c>
      <c r="D143" t="s">
        <v>220</v>
      </c>
      <c r="E143">
        <f>'Point List'!J140</f>
        <v>0</v>
      </c>
    </row>
    <row r="144" spans="1:5" x14ac:dyDescent="0.3">
      <c r="A144">
        <f>'Point List'!C141</f>
        <v>0</v>
      </c>
      <c r="C144">
        <f>'Point List'!L141</f>
        <v>0</v>
      </c>
      <c r="D144" t="s">
        <v>220</v>
      </c>
      <c r="E144">
        <f>'Point List'!J141</f>
        <v>0</v>
      </c>
    </row>
    <row r="145" spans="1:5" x14ac:dyDescent="0.3">
      <c r="A145">
        <f>'Point List'!C142</f>
        <v>0</v>
      </c>
      <c r="C145">
        <f>'Point List'!L142</f>
        <v>0</v>
      </c>
      <c r="D145" t="s">
        <v>220</v>
      </c>
      <c r="E145">
        <f>'Point List'!J142</f>
        <v>0</v>
      </c>
    </row>
    <row r="146" spans="1:5" x14ac:dyDescent="0.3">
      <c r="A146">
        <f>'Point List'!C143</f>
        <v>0</v>
      </c>
      <c r="C146">
        <f>'Point List'!L143</f>
        <v>0</v>
      </c>
      <c r="D146" t="s">
        <v>220</v>
      </c>
      <c r="E146">
        <f>'Point List'!J143</f>
        <v>0</v>
      </c>
    </row>
    <row r="147" spans="1:5" x14ac:dyDescent="0.3">
      <c r="A147">
        <f>'Point List'!C144</f>
        <v>0</v>
      </c>
      <c r="C147">
        <f>'Point List'!L144</f>
        <v>0</v>
      </c>
      <c r="D147" t="s">
        <v>220</v>
      </c>
      <c r="E147">
        <f>'Point List'!J144</f>
        <v>0</v>
      </c>
    </row>
    <row r="148" spans="1:5" x14ac:dyDescent="0.3">
      <c r="A148">
        <f>'Point List'!C145</f>
        <v>0</v>
      </c>
      <c r="C148">
        <f>'Point List'!L145</f>
        <v>0</v>
      </c>
      <c r="D148" t="s">
        <v>220</v>
      </c>
      <c r="E148">
        <f>'Point List'!J145</f>
        <v>0</v>
      </c>
    </row>
    <row r="149" spans="1:5" x14ac:dyDescent="0.3">
      <c r="A149">
        <f>'Point List'!C146</f>
        <v>0</v>
      </c>
      <c r="C149">
        <f>'Point List'!L146</f>
        <v>0</v>
      </c>
      <c r="D149" t="s">
        <v>220</v>
      </c>
      <c r="E149">
        <f>'Point List'!J146</f>
        <v>0</v>
      </c>
    </row>
    <row r="150" spans="1:5" x14ac:dyDescent="0.3">
      <c r="A150">
        <f>'Point List'!C147</f>
        <v>0</v>
      </c>
      <c r="C150">
        <f>'Point List'!L147</f>
        <v>0</v>
      </c>
      <c r="D150" t="s">
        <v>220</v>
      </c>
      <c r="E150">
        <f>'Point List'!J147</f>
        <v>0</v>
      </c>
    </row>
    <row r="151" spans="1:5" x14ac:dyDescent="0.3">
      <c r="A151">
        <f>'Point List'!C148</f>
        <v>0</v>
      </c>
      <c r="C151">
        <f>'Point List'!L148</f>
        <v>0</v>
      </c>
      <c r="D151" t="s">
        <v>220</v>
      </c>
      <c r="E151">
        <f>'Point List'!J148</f>
        <v>0</v>
      </c>
    </row>
    <row r="152" spans="1:5" x14ac:dyDescent="0.3">
      <c r="A152">
        <f>'Point List'!C149</f>
        <v>0</v>
      </c>
      <c r="C152">
        <f>'Point List'!L149</f>
        <v>0</v>
      </c>
      <c r="D152" t="s">
        <v>220</v>
      </c>
      <c r="E152">
        <f>'Point List'!J149</f>
        <v>0</v>
      </c>
    </row>
    <row r="153" spans="1:5" x14ac:dyDescent="0.3">
      <c r="A153">
        <f>'Point List'!C150</f>
        <v>0</v>
      </c>
      <c r="C153">
        <f>'Point List'!L150</f>
        <v>0</v>
      </c>
      <c r="D153" t="s">
        <v>220</v>
      </c>
      <c r="E153">
        <f>'Point List'!J150</f>
        <v>0</v>
      </c>
    </row>
    <row r="154" spans="1:5" x14ac:dyDescent="0.3">
      <c r="A154">
        <f>'Point List'!C151</f>
        <v>0</v>
      </c>
      <c r="C154">
        <f>'Point List'!L151</f>
        <v>0</v>
      </c>
      <c r="D154" t="s">
        <v>220</v>
      </c>
      <c r="E154">
        <f>'Point List'!J151</f>
        <v>0</v>
      </c>
    </row>
    <row r="155" spans="1:5" x14ac:dyDescent="0.3">
      <c r="A155">
        <f>'Point List'!C152</f>
        <v>0</v>
      </c>
      <c r="C155">
        <f>'Point List'!L152</f>
        <v>0</v>
      </c>
      <c r="D155" t="s">
        <v>220</v>
      </c>
      <c r="E155">
        <f>'Point List'!J152</f>
        <v>0</v>
      </c>
    </row>
    <row r="156" spans="1:5" x14ac:dyDescent="0.3">
      <c r="A156">
        <f>'Point List'!C153</f>
        <v>0</v>
      </c>
      <c r="C156">
        <f>'Point List'!L153</f>
        <v>0</v>
      </c>
      <c r="D156" t="s">
        <v>220</v>
      </c>
      <c r="E156">
        <f>'Point List'!J153</f>
        <v>0</v>
      </c>
    </row>
    <row r="157" spans="1:5" x14ac:dyDescent="0.3">
      <c r="A157">
        <f>'Point List'!C154</f>
        <v>0</v>
      </c>
      <c r="C157">
        <f>'Point List'!L154</f>
        <v>0</v>
      </c>
      <c r="D157" t="s">
        <v>220</v>
      </c>
      <c r="E157">
        <f>'Point List'!J154</f>
        <v>0</v>
      </c>
    </row>
    <row r="158" spans="1:5" x14ac:dyDescent="0.3">
      <c r="A158">
        <f>'Point List'!C155</f>
        <v>0</v>
      </c>
      <c r="C158">
        <f>'Point List'!L155</f>
        <v>0</v>
      </c>
      <c r="D158" t="s">
        <v>220</v>
      </c>
      <c r="E158">
        <f>'Point List'!J155</f>
        <v>0</v>
      </c>
    </row>
    <row r="159" spans="1:5" x14ac:dyDescent="0.3">
      <c r="A159">
        <f>'Point List'!C156</f>
        <v>0</v>
      </c>
      <c r="C159">
        <f>'Point List'!L156</f>
        <v>0</v>
      </c>
      <c r="D159" t="s">
        <v>220</v>
      </c>
      <c r="E159">
        <f>'Point List'!J156</f>
        <v>0</v>
      </c>
    </row>
    <row r="160" spans="1:5" x14ac:dyDescent="0.3">
      <c r="A160">
        <f>'Point List'!C157</f>
        <v>0</v>
      </c>
      <c r="C160">
        <f>'Point List'!L157</f>
        <v>0</v>
      </c>
      <c r="D160" t="s">
        <v>220</v>
      </c>
      <c r="E160">
        <f>'Point List'!J157</f>
        <v>0</v>
      </c>
    </row>
    <row r="161" spans="1:5" x14ac:dyDescent="0.3">
      <c r="A161">
        <f>'Point List'!C158</f>
        <v>0</v>
      </c>
      <c r="C161">
        <f>'Point List'!L158</f>
        <v>0</v>
      </c>
      <c r="D161" t="s">
        <v>220</v>
      </c>
      <c r="E161">
        <f>'Point List'!J158</f>
        <v>0</v>
      </c>
    </row>
    <row r="162" spans="1:5" x14ac:dyDescent="0.3">
      <c r="A162">
        <f>'Point List'!C159</f>
        <v>0</v>
      </c>
      <c r="C162">
        <f>'Point List'!L159</f>
        <v>0</v>
      </c>
      <c r="D162" t="s">
        <v>220</v>
      </c>
      <c r="E162">
        <f>'Point List'!J159</f>
        <v>0</v>
      </c>
    </row>
    <row r="163" spans="1:5" x14ac:dyDescent="0.3">
      <c r="A163">
        <f>'Point List'!C160</f>
        <v>0</v>
      </c>
      <c r="C163">
        <f>'Point List'!L160</f>
        <v>0</v>
      </c>
      <c r="D163" t="s">
        <v>220</v>
      </c>
      <c r="E163">
        <f>'Point List'!J160</f>
        <v>0</v>
      </c>
    </row>
    <row r="164" spans="1:5" x14ac:dyDescent="0.3">
      <c r="A164">
        <f>'Point List'!C161</f>
        <v>0</v>
      </c>
      <c r="C164">
        <f>'Point List'!L161</f>
        <v>0</v>
      </c>
      <c r="D164" t="s">
        <v>220</v>
      </c>
      <c r="E164">
        <f>'Point List'!J161</f>
        <v>0</v>
      </c>
    </row>
    <row r="165" spans="1:5" x14ac:dyDescent="0.3">
      <c r="A165">
        <f>'Point List'!C162</f>
        <v>0</v>
      </c>
      <c r="C165">
        <f>'Point List'!L162</f>
        <v>0</v>
      </c>
      <c r="D165" t="s">
        <v>220</v>
      </c>
      <c r="E165">
        <f>'Point List'!J162</f>
        <v>0</v>
      </c>
    </row>
    <row r="166" spans="1:5" x14ac:dyDescent="0.3">
      <c r="A166">
        <f>'Point List'!C163</f>
        <v>0</v>
      </c>
      <c r="C166">
        <f>'Point List'!L163</f>
        <v>0</v>
      </c>
      <c r="D166" t="s">
        <v>220</v>
      </c>
      <c r="E166">
        <f>'Point List'!J163</f>
        <v>0</v>
      </c>
    </row>
    <row r="167" spans="1:5" x14ac:dyDescent="0.3">
      <c r="A167">
        <f>'Point List'!C164</f>
        <v>0</v>
      </c>
      <c r="C167">
        <f>'Point List'!L164</f>
        <v>0</v>
      </c>
      <c r="D167" t="s">
        <v>220</v>
      </c>
      <c r="E167">
        <f>'Point List'!J164</f>
        <v>0</v>
      </c>
    </row>
    <row r="168" spans="1:5" x14ac:dyDescent="0.3">
      <c r="A168">
        <f>'Point List'!C165</f>
        <v>0</v>
      </c>
      <c r="C168">
        <f>'Point List'!L165</f>
        <v>0</v>
      </c>
      <c r="D168" t="s">
        <v>220</v>
      </c>
      <c r="E168">
        <f>'Point List'!J165</f>
        <v>0</v>
      </c>
    </row>
    <row r="169" spans="1:5" x14ac:dyDescent="0.3">
      <c r="A169">
        <f>'Point List'!C166</f>
        <v>0</v>
      </c>
      <c r="C169">
        <f>'Point List'!L166</f>
        <v>0</v>
      </c>
      <c r="D169" t="s">
        <v>220</v>
      </c>
      <c r="E169">
        <f>'Point List'!J166</f>
        <v>0</v>
      </c>
    </row>
    <row r="170" spans="1:5" x14ac:dyDescent="0.3">
      <c r="A170">
        <f>'Point List'!C167</f>
        <v>0</v>
      </c>
      <c r="C170">
        <f>'Point List'!L167</f>
        <v>0</v>
      </c>
      <c r="D170" t="s">
        <v>220</v>
      </c>
      <c r="E170">
        <f>'Point List'!J167</f>
        <v>0</v>
      </c>
    </row>
    <row r="171" spans="1:5" x14ac:dyDescent="0.3">
      <c r="A171">
        <f>'Point List'!C168</f>
        <v>0</v>
      </c>
      <c r="C171">
        <f>'Point List'!L168</f>
        <v>0</v>
      </c>
      <c r="D171" t="s">
        <v>220</v>
      </c>
      <c r="E171">
        <f>'Point List'!J168</f>
        <v>0</v>
      </c>
    </row>
    <row r="172" spans="1:5" x14ac:dyDescent="0.3">
      <c r="A172">
        <f>'Point List'!C169</f>
        <v>0</v>
      </c>
      <c r="C172">
        <f>'Point List'!L169</f>
        <v>0</v>
      </c>
      <c r="D172" t="s">
        <v>220</v>
      </c>
      <c r="E172">
        <f>'Point List'!J169</f>
        <v>0</v>
      </c>
    </row>
    <row r="173" spans="1:5" x14ac:dyDescent="0.3">
      <c r="A173">
        <f>'Point List'!C170</f>
        <v>0</v>
      </c>
      <c r="C173">
        <f>'Point List'!L170</f>
        <v>0</v>
      </c>
      <c r="D173" t="s">
        <v>220</v>
      </c>
      <c r="E173">
        <f>'Point List'!J170</f>
        <v>0</v>
      </c>
    </row>
    <row r="174" spans="1:5" x14ac:dyDescent="0.3">
      <c r="A174">
        <f>'Point List'!C171</f>
        <v>0</v>
      </c>
      <c r="C174">
        <f>'Point List'!L171</f>
        <v>0</v>
      </c>
      <c r="D174" t="s">
        <v>220</v>
      </c>
      <c r="E174">
        <f>'Point List'!J171</f>
        <v>0</v>
      </c>
    </row>
    <row r="175" spans="1:5" x14ac:dyDescent="0.3">
      <c r="A175">
        <f>'Point List'!C172</f>
        <v>0</v>
      </c>
      <c r="C175">
        <f>'Point List'!L172</f>
        <v>0</v>
      </c>
      <c r="D175" t="s">
        <v>220</v>
      </c>
      <c r="E175">
        <f>'Point List'!J172</f>
        <v>0</v>
      </c>
    </row>
    <row r="176" spans="1:5" x14ac:dyDescent="0.3">
      <c r="A176">
        <f>'Point List'!C173</f>
        <v>0</v>
      </c>
      <c r="C176">
        <f>'Point List'!L173</f>
        <v>0</v>
      </c>
      <c r="D176" t="s">
        <v>220</v>
      </c>
      <c r="E176">
        <f>'Point List'!J173</f>
        <v>0</v>
      </c>
    </row>
    <row r="177" spans="1:5" x14ac:dyDescent="0.3">
      <c r="A177">
        <f>'Point List'!C174</f>
        <v>0</v>
      </c>
      <c r="C177">
        <f>'Point List'!L174</f>
        <v>0</v>
      </c>
      <c r="D177" t="s">
        <v>220</v>
      </c>
      <c r="E177">
        <f>'Point List'!J174</f>
        <v>0</v>
      </c>
    </row>
    <row r="178" spans="1:5" x14ac:dyDescent="0.3">
      <c r="A178">
        <f>'Point List'!C175</f>
        <v>0</v>
      </c>
      <c r="C178">
        <f>'Point List'!L175</f>
        <v>0</v>
      </c>
      <c r="D178" t="s">
        <v>220</v>
      </c>
      <c r="E178">
        <f>'Point List'!J175</f>
        <v>0</v>
      </c>
    </row>
    <row r="179" spans="1:5" x14ac:dyDescent="0.3">
      <c r="A179">
        <f>'Point List'!C176</f>
        <v>0</v>
      </c>
      <c r="C179">
        <f>'Point List'!L176</f>
        <v>0</v>
      </c>
      <c r="D179" t="s">
        <v>220</v>
      </c>
      <c r="E179">
        <f>'Point List'!J176</f>
        <v>0</v>
      </c>
    </row>
    <row r="180" spans="1:5" x14ac:dyDescent="0.3">
      <c r="A180">
        <f>'Point List'!C177</f>
        <v>0</v>
      </c>
      <c r="C180">
        <f>'Point List'!L177</f>
        <v>0</v>
      </c>
      <c r="D180" t="s">
        <v>220</v>
      </c>
      <c r="E180">
        <f>'Point List'!J177</f>
        <v>0</v>
      </c>
    </row>
    <row r="181" spans="1:5" x14ac:dyDescent="0.3">
      <c r="A181">
        <f>'Point List'!C178</f>
        <v>0</v>
      </c>
      <c r="C181">
        <f>'Point List'!L178</f>
        <v>0</v>
      </c>
      <c r="D181" t="s">
        <v>220</v>
      </c>
      <c r="E181">
        <f>'Point List'!J178</f>
        <v>0</v>
      </c>
    </row>
    <row r="182" spans="1:5" x14ac:dyDescent="0.3">
      <c r="A182">
        <f>'Point List'!C179</f>
        <v>0</v>
      </c>
      <c r="C182">
        <f>'Point List'!L179</f>
        <v>0</v>
      </c>
      <c r="D182" t="s">
        <v>220</v>
      </c>
      <c r="E182">
        <f>'Point List'!J179</f>
        <v>0</v>
      </c>
    </row>
    <row r="183" spans="1:5" x14ac:dyDescent="0.3">
      <c r="A183">
        <f>'Point List'!C180</f>
        <v>0</v>
      </c>
      <c r="C183">
        <f>'Point List'!L180</f>
        <v>0</v>
      </c>
      <c r="D183" t="s">
        <v>220</v>
      </c>
      <c r="E183">
        <f>'Point List'!J180</f>
        <v>0</v>
      </c>
    </row>
    <row r="184" spans="1:5" x14ac:dyDescent="0.3">
      <c r="A184">
        <f>'Point List'!C181</f>
        <v>0</v>
      </c>
      <c r="C184">
        <f>'Point List'!L181</f>
        <v>0</v>
      </c>
      <c r="D184" t="s">
        <v>220</v>
      </c>
      <c r="E184">
        <f>'Point List'!J181</f>
        <v>0</v>
      </c>
    </row>
    <row r="185" spans="1:5" x14ac:dyDescent="0.3">
      <c r="A185">
        <f>'Point List'!C182</f>
        <v>0</v>
      </c>
      <c r="C185">
        <f>'Point List'!L182</f>
        <v>0</v>
      </c>
      <c r="D185" t="s">
        <v>220</v>
      </c>
      <c r="E185">
        <f>'Point List'!J182</f>
        <v>0</v>
      </c>
    </row>
    <row r="186" spans="1:5" x14ac:dyDescent="0.3">
      <c r="A186">
        <f>'Point List'!C183</f>
        <v>0</v>
      </c>
      <c r="C186">
        <f>'Point List'!L183</f>
        <v>0</v>
      </c>
      <c r="D186" t="s">
        <v>220</v>
      </c>
      <c r="E186">
        <f>'Point List'!J183</f>
        <v>0</v>
      </c>
    </row>
    <row r="187" spans="1:5" x14ac:dyDescent="0.3">
      <c r="A187">
        <f>'Point List'!C184</f>
        <v>0</v>
      </c>
      <c r="C187">
        <f>'Point List'!L184</f>
        <v>0</v>
      </c>
      <c r="D187" t="s">
        <v>220</v>
      </c>
      <c r="E187">
        <f>'Point List'!J184</f>
        <v>0</v>
      </c>
    </row>
    <row r="188" spans="1:5" x14ac:dyDescent="0.3">
      <c r="A188">
        <f>'Point List'!C185</f>
        <v>0</v>
      </c>
      <c r="C188">
        <f>'Point List'!L185</f>
        <v>0</v>
      </c>
      <c r="D188" t="s">
        <v>220</v>
      </c>
      <c r="E188">
        <f>'Point List'!J185</f>
        <v>0</v>
      </c>
    </row>
    <row r="189" spans="1:5" x14ac:dyDescent="0.3">
      <c r="A189">
        <f>'Point List'!C186</f>
        <v>0</v>
      </c>
      <c r="C189">
        <f>'Point List'!L186</f>
        <v>0</v>
      </c>
      <c r="D189" t="s">
        <v>220</v>
      </c>
      <c r="E189">
        <f>'Point List'!J186</f>
        <v>0</v>
      </c>
    </row>
    <row r="190" spans="1:5" x14ac:dyDescent="0.3">
      <c r="A190">
        <f>'Point List'!C187</f>
        <v>0</v>
      </c>
      <c r="C190">
        <f>'Point List'!L187</f>
        <v>0</v>
      </c>
      <c r="D190" t="s">
        <v>220</v>
      </c>
      <c r="E190">
        <f>'Point List'!J187</f>
        <v>0</v>
      </c>
    </row>
    <row r="191" spans="1:5" x14ac:dyDescent="0.3">
      <c r="A191">
        <f>'Point List'!C188</f>
        <v>0</v>
      </c>
      <c r="C191">
        <f>'Point List'!L188</f>
        <v>0</v>
      </c>
      <c r="D191" t="s">
        <v>220</v>
      </c>
      <c r="E191">
        <f>'Point List'!J188</f>
        <v>0</v>
      </c>
    </row>
    <row r="192" spans="1:5" x14ac:dyDescent="0.3">
      <c r="A192">
        <f>'Point List'!C189</f>
        <v>0</v>
      </c>
      <c r="C192">
        <f>'Point List'!L189</f>
        <v>0</v>
      </c>
      <c r="D192" t="s">
        <v>220</v>
      </c>
      <c r="E192">
        <f>'Point List'!J189</f>
        <v>0</v>
      </c>
    </row>
    <row r="193" spans="1:5" x14ac:dyDescent="0.3">
      <c r="A193">
        <f>'Point List'!C190</f>
        <v>0</v>
      </c>
      <c r="C193">
        <f>'Point List'!L190</f>
        <v>0</v>
      </c>
      <c r="D193" t="s">
        <v>220</v>
      </c>
      <c r="E193">
        <f>'Point List'!J190</f>
        <v>0</v>
      </c>
    </row>
    <row r="194" spans="1:5" x14ac:dyDescent="0.3">
      <c r="A194">
        <f>'Point List'!C191</f>
        <v>0</v>
      </c>
      <c r="C194">
        <f>'Point List'!L191</f>
        <v>0</v>
      </c>
      <c r="D194" t="s">
        <v>220</v>
      </c>
      <c r="E194">
        <f>'Point List'!J191</f>
        <v>0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topLeftCell="A373" workbookViewId="0">
      <selection activeCell="G395" sqref="G395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0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0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0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0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0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0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0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0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0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0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0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0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0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0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0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0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0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0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0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0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0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0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0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0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0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0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0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0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0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0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0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0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0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0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0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0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0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0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0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0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0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0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0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0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0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0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0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0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0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0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0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0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0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0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0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0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0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0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0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0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0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0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0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0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0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0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0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0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0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0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0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0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0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0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0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0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0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0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0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0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0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0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0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0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0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0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0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0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0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0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0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0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0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0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0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0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0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0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0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0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0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0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0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0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0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0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0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0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0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0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0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0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0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0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0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0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0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0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0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0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0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0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0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0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0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0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0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0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0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0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0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0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0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0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0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0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0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0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0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0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0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0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0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0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0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0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0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0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0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0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0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0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0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0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0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0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0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0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0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0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0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0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0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0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0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0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0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0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0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0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0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0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0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0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0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0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0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0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0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0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0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0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0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0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0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0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0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0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0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0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0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0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0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0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0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0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0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0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0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0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0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0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0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0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0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0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0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0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0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0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0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0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0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0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0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0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0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0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0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0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0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0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0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0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0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0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0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0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0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0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0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0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0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0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0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0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0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0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0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0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0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0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0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0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0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0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0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0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0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0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0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0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0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0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0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0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0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0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0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0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0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0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0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0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0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0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0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0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0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0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0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0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0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0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0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0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0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0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0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0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0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0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0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0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0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0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0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0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0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0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0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0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0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0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0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0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0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0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0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0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0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0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0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0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0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0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0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0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0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0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0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0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0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0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0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0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0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0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0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0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0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0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0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0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0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0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0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0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0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0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0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0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0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0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0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0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0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0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0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0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0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0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0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0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0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0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0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0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0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0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0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0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0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0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0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0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0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0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0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0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0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0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0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0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0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0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0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0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0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0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0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0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0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0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0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0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0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0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0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0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0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0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0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0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0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0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0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0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0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0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0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0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0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0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0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0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0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0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0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0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0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0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0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0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0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0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0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0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0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0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0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0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0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0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0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0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0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0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0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0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0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0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0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0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0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0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0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0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0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0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0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0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0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0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0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0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0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0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0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0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0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0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0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0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0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0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0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0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0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0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0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0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0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0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0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0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0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0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0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0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0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0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0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0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0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0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0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0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0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0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0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0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0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0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0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0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0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0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0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0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0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0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0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0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0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0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0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0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0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0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0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0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0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0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0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0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0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0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0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0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0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0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0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0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0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0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0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0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0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0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0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0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0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0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0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0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0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0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0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0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0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0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0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0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0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0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0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0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0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0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0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0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0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0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0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0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0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0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0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0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0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0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0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0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0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0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0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0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0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0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0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0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0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0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0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0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0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0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0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0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0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0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0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0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0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0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0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0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0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0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0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0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0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0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0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0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0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0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0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0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0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0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0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0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0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0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0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0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0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0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0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0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0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0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0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0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0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0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0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0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0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0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0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0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0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0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0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0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0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0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0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0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0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0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0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0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0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0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0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0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0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0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0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0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0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0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0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0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0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0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0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0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0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0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0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0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0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0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0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0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0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0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0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0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0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0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0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0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0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0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0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0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0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0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0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0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0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0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0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0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0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0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0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0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0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0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0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0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0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0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0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0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0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0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0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0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0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0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0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0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0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0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0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0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0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0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0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0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0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0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0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0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0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0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0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0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0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0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0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0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0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0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0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0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0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0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0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0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0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0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0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0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0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0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0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0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0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0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0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0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0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0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0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0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0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0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0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0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0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0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0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0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0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0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0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0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0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0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0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0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0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0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0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0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0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0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0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0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0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0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0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0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0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0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0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0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0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0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0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0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0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0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0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0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0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0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0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0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0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0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0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0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0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0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0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0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0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0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0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0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0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0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0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0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0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0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0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0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0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0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0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0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0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0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0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0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0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0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0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0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0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0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0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0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0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0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0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0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0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0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0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0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0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0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0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0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0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0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0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0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0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0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0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0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0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0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0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0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0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0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0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0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0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0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0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0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0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0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0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0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0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0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0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0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0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0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0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0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0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0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0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0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0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0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0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0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0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0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0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0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0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0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0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0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0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0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0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0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0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0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0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0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0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0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0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0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0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0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0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0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0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0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0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0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0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0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0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0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0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0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0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0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0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0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0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0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0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0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0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0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0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0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0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0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0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0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0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0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0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0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0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0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0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0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0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0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0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0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0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0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0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0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0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0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0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0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0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0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0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0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0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0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0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0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0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0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0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0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0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0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0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0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0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0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0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0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0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0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0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0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0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0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0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0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0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0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0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0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0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0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0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0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0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0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0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0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0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0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0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0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0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0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0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0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0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0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0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0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0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0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0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0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0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0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0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0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0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0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0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0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0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0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0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0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0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0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0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0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0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0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0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0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0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0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0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0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0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0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0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0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0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0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0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0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0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0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0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0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0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0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0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0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0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0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0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0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0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0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0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0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0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0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0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0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0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0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0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0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0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0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0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0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0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0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0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0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0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0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0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0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0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0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0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0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0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0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0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0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0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0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0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0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0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0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0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0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0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0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0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0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0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0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0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0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0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0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0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0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0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0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0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0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0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0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0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0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0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0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0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0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0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0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0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0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0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0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0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0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0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0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0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0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0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0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0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0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0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0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0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0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0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0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0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0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0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0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0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0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0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0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0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0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0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0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0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0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0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0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0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0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0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0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0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0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0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0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0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0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0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0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0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0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0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0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0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0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0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0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0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0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0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0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0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0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0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0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0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0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0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0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0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0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0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0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0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0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0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0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0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0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0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0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0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0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0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0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0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0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0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0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0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0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0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0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0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0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0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0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0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0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0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0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0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0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0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0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0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0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0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0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0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0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0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0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0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0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0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0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0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0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0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0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0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0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0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0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0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0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0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0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0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0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0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0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0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0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0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0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0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0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0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0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0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0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0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0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0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0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0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0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0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0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0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0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0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0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0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0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0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0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0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0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0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0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0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0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0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0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0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0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0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0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0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0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0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0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0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0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0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0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0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0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0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0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0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0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0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0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0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0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0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0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0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0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0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0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0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0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0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0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0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0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0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0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0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0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0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0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0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0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0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0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0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0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0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0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0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0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0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0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0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0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0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0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0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0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0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0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0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0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0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0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0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0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0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0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0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0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0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0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0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0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0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0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0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0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0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0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0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0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0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0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0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0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0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0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0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0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0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0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0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0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0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0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0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0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0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0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0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0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0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0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0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0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0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0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0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0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0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0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0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0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0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0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0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0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0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0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0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0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0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0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0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0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0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0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0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0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0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0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0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0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0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0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0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0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0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0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0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0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0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0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0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0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0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0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0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0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0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0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0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0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0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0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0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0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0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0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0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0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0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0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0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0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0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0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0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0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0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0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0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0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0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0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0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0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0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0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0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0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0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0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0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0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0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0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0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0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0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0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0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0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0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0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0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0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0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0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0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0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0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0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0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0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0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0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0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0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0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0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0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0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0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0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0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0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0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0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0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0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0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0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0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0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0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0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0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0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0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0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0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0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0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0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0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0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0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0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0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0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0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0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0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0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0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0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0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0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0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0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0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0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0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0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0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0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0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0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0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0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0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0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0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0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0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0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0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0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0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0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0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0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0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0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0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0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0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0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0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0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0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0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0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0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0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0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0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0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0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0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0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0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0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0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0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0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0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0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0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0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0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0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0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0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0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0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0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0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0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0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0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0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0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0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0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0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0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0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0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0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0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0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0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0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0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0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0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0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0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0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0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0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0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0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0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0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0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0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0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0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0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0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0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0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0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0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0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0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0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0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0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0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0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0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0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0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0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0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0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0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0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0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0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0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0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0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0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0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0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0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0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0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0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0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0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0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0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0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0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0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0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0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0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0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0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0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0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0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0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0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0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0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0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0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0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0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0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0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0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0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0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0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0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0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0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0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0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0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0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0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0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0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0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0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0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0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0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0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0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0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0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0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0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0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0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0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0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0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0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0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0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0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0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0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0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0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0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0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0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0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0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0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0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0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0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0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0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0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0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0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0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0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0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0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0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0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0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0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0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0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0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0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0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0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0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0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0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0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0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0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0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0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0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0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0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0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0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0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0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0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0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0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0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0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0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0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0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0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0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0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0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0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0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0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0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0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0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0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0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0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0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0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0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0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0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0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0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0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0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0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0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0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0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0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0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0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0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0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0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0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0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0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0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0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0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0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0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0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0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0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0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0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0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0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0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0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0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0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0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0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0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0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0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0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0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0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0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0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0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0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0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0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0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0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0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0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0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0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0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0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0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0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0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0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0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0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0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0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0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0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0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0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0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0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0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0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0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0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0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0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0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0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0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0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0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0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0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0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0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0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0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0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0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0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0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0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0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0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0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0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0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0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0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0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0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0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0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0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0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0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0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0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0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0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0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0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0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0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0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0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0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0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0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0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0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0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0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0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0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0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0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0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0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0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0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0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0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0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0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0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0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0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0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0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0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0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0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0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0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0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0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0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0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0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0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0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0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0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0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0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0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0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0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0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0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0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0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0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0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0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0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0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0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0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0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0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0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0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0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0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0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0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0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0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0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0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0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0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0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0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0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0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0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0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0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0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0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0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0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0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0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0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0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0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0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0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0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0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0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0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0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0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0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0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0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0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0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0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0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0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0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0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0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0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0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0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0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0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0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0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0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0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0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0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0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0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0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0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0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0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0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0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0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0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0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0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0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0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0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0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0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0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0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0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0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0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0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0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0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0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0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0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0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0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0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0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0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0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0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0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0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0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0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0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0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0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0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0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0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0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0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0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0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0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0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0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0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0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B9609-D38B-45A0-9E25-0F7CEDBD1FA5}">
  <dimension ref="A1:O162"/>
  <sheetViews>
    <sheetView tabSelected="1" topLeftCell="A56" workbookViewId="0">
      <selection activeCell="A34" sqref="A34:XFD37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9.44140625" bestFit="1" customWidth="1"/>
  </cols>
  <sheetData>
    <row r="1" spans="1:15" x14ac:dyDescent="0.3">
      <c r="A1" t="s">
        <v>208</v>
      </c>
      <c r="K1" t="str">
        <f>"""" &amp; A1 &amp; """"</f>
        <v>"GP-Pro EX"</v>
      </c>
      <c r="O1" t="s">
        <v>228</v>
      </c>
    </row>
    <row r="2" spans="1:15" x14ac:dyDescent="0.3">
      <c r="A2" t="s">
        <v>209</v>
      </c>
      <c r="B2" t="s">
        <v>211</v>
      </c>
      <c r="K2" t="str">
        <f>_xlfn.CONCAT(""""&amp;A2&amp;"""",",",""""&amp;B2&amp;"""")</f>
        <v>"File Type","SymbolVariable"</v>
      </c>
      <c r="O2" t="s">
        <v>229</v>
      </c>
    </row>
    <row r="3" spans="1:15" x14ac:dyDescent="0.3">
      <c r="A3" t="s">
        <v>210</v>
      </c>
      <c r="B3">
        <v>3</v>
      </c>
      <c r="C3">
        <v>0</v>
      </c>
      <c r="K3" t="str">
        <f>_xlfn.CONCAT(""""&amp;A3&amp;"""",",",""""&amp;B3&amp;"""",",",""""&amp;C3&amp;"""")</f>
        <v>"File Version","3","0"</v>
      </c>
      <c r="O3" t="s">
        <v>230</v>
      </c>
    </row>
    <row r="5" spans="1:15" x14ac:dyDescent="0.3">
      <c r="A5" t="s">
        <v>2</v>
      </c>
      <c r="B5" t="s">
        <v>212</v>
      </c>
      <c r="C5" t="s">
        <v>213</v>
      </c>
      <c r="D5" t="s">
        <v>214</v>
      </c>
      <c r="E5" t="s">
        <v>215</v>
      </c>
      <c r="F5" t="s">
        <v>216</v>
      </c>
      <c r="G5" t="s">
        <v>217</v>
      </c>
      <c r="K5" t="str">
        <f>_xlfn.CONCAT(""""&amp;A5&amp;"""",",",""""&amp;B5&amp;"""",",",""""&amp;C5&amp;"""",",",""""&amp;D5&amp;"""",",",""""&amp;E5&amp;"""",",",""""&amp;F5&amp;"""",",",""""&amp;G5&amp;"""")</f>
        <v>"Name","Index","Type","External/Internal","Address","Keep","Comment"</v>
      </c>
      <c r="O5" t="s">
        <v>226</v>
      </c>
    </row>
    <row r="6" spans="1:15" x14ac:dyDescent="0.3">
      <c r="A6" t="str">
        <f>'Point List'!C3</f>
        <v>System_Start</v>
      </c>
      <c r="C6" t="str">
        <f>'Point List'!L3</f>
        <v>BitAddress</v>
      </c>
      <c r="D6" t="s">
        <v>220</v>
      </c>
      <c r="E6" t="str">
        <f>'Point List'!J3</f>
        <v>012289</v>
      </c>
      <c r="K6" t="str">
        <f>_xlfn.CONCAT(A6,",",B6,",",C6,",",D6,",",E6,",",F6,",",G6)</f>
        <v>System_Start,,BitAddress,PLC1,012289,,</v>
      </c>
      <c r="O6" t="s">
        <v>227</v>
      </c>
    </row>
    <row r="7" spans="1:15" x14ac:dyDescent="0.3">
      <c r="A7" t="str">
        <f>'Point List'!C4</f>
        <v>System_Shutdown</v>
      </c>
      <c r="C7" t="str">
        <f>'Point List'!L4</f>
        <v>BitAddress</v>
      </c>
      <c r="D7" t="s">
        <v>220</v>
      </c>
      <c r="E7" t="str">
        <f>'Point List'!J4</f>
        <v>012290</v>
      </c>
      <c r="K7" t="str">
        <f t="shared" ref="K7:K59" si="0">_xlfn.CONCAT(A7,",",B7,",",C7,",",D7,",",E7,",",F7,",",G7)</f>
        <v>System_Shutdown,,BitAddress,PLC1,012290,,</v>
      </c>
      <c r="O7" t="s">
        <v>231</v>
      </c>
    </row>
    <row r="8" spans="1:15" x14ac:dyDescent="0.3">
      <c r="A8" t="str">
        <f>'Point List'!C5</f>
        <v>Simplex_Mode</v>
      </c>
      <c r="C8" t="str">
        <f>'Point List'!L5</f>
        <v>BitAddress</v>
      </c>
      <c r="D8" t="s">
        <v>220</v>
      </c>
      <c r="E8" t="str">
        <f>'Point List'!J5</f>
        <v>012291</v>
      </c>
      <c r="K8" t="str">
        <f t="shared" si="0"/>
        <v>Simplex_Mode,,BitAddress,PLC1,012291,,</v>
      </c>
      <c r="O8" t="s">
        <v>232</v>
      </c>
    </row>
    <row r="9" spans="1:15" x14ac:dyDescent="0.3">
      <c r="A9" t="str">
        <f>'Point List'!C6</f>
        <v>Manual_Turnover</v>
      </c>
      <c r="C9" t="str">
        <f>'Point List'!L6</f>
        <v>BitAddress</v>
      </c>
      <c r="D9" t="s">
        <v>220</v>
      </c>
      <c r="E9" t="str">
        <f>'Point List'!J6</f>
        <v>012292</v>
      </c>
      <c r="K9" t="str">
        <f t="shared" si="0"/>
        <v>Manual_Turnover,,BitAddress,PLC1,012292,,</v>
      </c>
      <c r="O9" t="s">
        <v>233</v>
      </c>
    </row>
    <row r="10" spans="1:15" x14ac:dyDescent="0.3">
      <c r="A10" t="str">
        <f>'Point List'!C7</f>
        <v>Enable_Manual_Valve_Control</v>
      </c>
      <c r="C10" t="str">
        <f>'Point List'!L7</f>
        <v>BitAddress</v>
      </c>
      <c r="D10" t="s">
        <v>220</v>
      </c>
      <c r="E10" t="str">
        <f>'Point List'!J7</f>
        <v>012293</v>
      </c>
      <c r="K10" t="str">
        <f t="shared" si="0"/>
        <v>Enable_Manual_Valve_Control,,BitAddress,PLC1,012293,,</v>
      </c>
      <c r="O10" t="s">
        <v>234</v>
      </c>
    </row>
    <row r="11" spans="1:15" x14ac:dyDescent="0.3">
      <c r="A11" t="str">
        <f>'Point List'!C8</f>
        <v>Enable_Manual_Fan_Control</v>
      </c>
      <c r="C11" t="str">
        <f>'Point List'!L8</f>
        <v>BitAddress</v>
      </c>
      <c r="D11" t="s">
        <v>220</v>
      </c>
      <c r="E11" t="str">
        <f>'Point List'!J8</f>
        <v>012294</v>
      </c>
      <c r="K11" t="str">
        <f t="shared" si="0"/>
        <v>Enable_Manual_Fan_Control,,BitAddress,PLC1,012294,,</v>
      </c>
      <c r="O11" t="s">
        <v>235</v>
      </c>
    </row>
    <row r="12" spans="1:15" x14ac:dyDescent="0.3">
      <c r="A12" t="str">
        <f>'Point List'!C9</f>
        <v>AVAILABLE</v>
      </c>
      <c r="C12" t="str">
        <f>'Point List'!L9</f>
        <v>BitAddress</v>
      </c>
      <c r="D12" t="s">
        <v>220</v>
      </c>
      <c r="E12" t="str">
        <f>'Point List'!J9</f>
        <v>012295</v>
      </c>
      <c r="K12" t="str">
        <f t="shared" si="0"/>
        <v>AVAILABLE,,BitAddress,PLC1,012295,,</v>
      </c>
      <c r="O12" t="s">
        <v>236</v>
      </c>
    </row>
    <row r="13" spans="1:15" x14ac:dyDescent="0.3">
      <c r="A13" t="str">
        <f>'Point List'!C10</f>
        <v>Force_Fan_1_On/Off</v>
      </c>
      <c r="C13" t="str">
        <f>'Point List'!L10</f>
        <v>BitAddress</v>
      </c>
      <c r="D13" t="s">
        <v>220</v>
      </c>
      <c r="E13" t="str">
        <f>'Point List'!J10</f>
        <v>012296</v>
      </c>
      <c r="K13" t="str">
        <f t="shared" si="0"/>
        <v>Force_Fan_1_On/Off,,BitAddress,PLC1,012296,,</v>
      </c>
      <c r="O13" t="s">
        <v>237</v>
      </c>
    </row>
    <row r="14" spans="1:15" x14ac:dyDescent="0.3">
      <c r="A14" t="str">
        <f>'Point List'!C11</f>
        <v>Force_Fan_2_On/Off</v>
      </c>
      <c r="C14" t="str">
        <f>'Point List'!L11</f>
        <v>BitAddress</v>
      </c>
      <c r="D14" t="s">
        <v>220</v>
      </c>
      <c r="E14" t="str">
        <f>'Point List'!J11</f>
        <v>012297</v>
      </c>
      <c r="K14" t="str">
        <f t="shared" si="0"/>
        <v>Force_Fan_2_On/Off,,BitAddress,PLC1,012297,,</v>
      </c>
      <c r="O14" t="s">
        <v>238</v>
      </c>
    </row>
    <row r="15" spans="1:15" x14ac:dyDescent="0.3">
      <c r="A15" t="str">
        <f>'Point List'!C12</f>
        <v>Primary_Hydraulic_Fault_ACK</v>
      </c>
      <c r="C15" t="str">
        <f>'Point List'!L12</f>
        <v>BitAddress</v>
      </c>
      <c r="D15" t="s">
        <v>220</v>
      </c>
      <c r="E15" t="str">
        <f>'Point List'!J12</f>
        <v>012298</v>
      </c>
      <c r="K15" t="str">
        <f t="shared" si="0"/>
        <v>Primary_Hydraulic_Fault_ACK,,BitAddress,PLC1,012298,,</v>
      </c>
      <c r="O15" t="s">
        <v>239</v>
      </c>
    </row>
    <row r="16" spans="1:15" x14ac:dyDescent="0.3">
      <c r="A16" t="str">
        <f>'Point List'!C13</f>
        <v>Secondary_Hydraulic_Fault_ACK</v>
      </c>
      <c r="C16" t="str">
        <f>'Point List'!L13</f>
        <v>BitAddress</v>
      </c>
      <c r="D16" t="s">
        <v>220</v>
      </c>
      <c r="E16" t="str">
        <f>'Point List'!J13</f>
        <v>012299</v>
      </c>
      <c r="K16" t="str">
        <f t="shared" si="0"/>
        <v>Secondary_Hydraulic_Fault_ACK,,BitAddress,PLC1,012299,,</v>
      </c>
      <c r="O16" t="s">
        <v>240</v>
      </c>
    </row>
    <row r="17" spans="1:15" x14ac:dyDescent="0.3">
      <c r="A17" t="str">
        <f>'Point List'!C14</f>
        <v>Enable_Pump_Cycling</v>
      </c>
      <c r="C17" t="str">
        <f>'Point List'!L14</f>
        <v>BitAddress</v>
      </c>
      <c r="D17" t="s">
        <v>220</v>
      </c>
      <c r="E17" t="str">
        <f>'Point List'!J14</f>
        <v>012300</v>
      </c>
      <c r="K17" t="str">
        <f t="shared" si="0"/>
        <v>Enable_Pump_Cycling,,BitAddress,PLC1,012300,,</v>
      </c>
      <c r="O17" t="s">
        <v>241</v>
      </c>
    </row>
    <row r="18" spans="1:15" x14ac:dyDescent="0.3">
      <c r="A18" t="str">
        <f>'Point List'!C15</f>
        <v>Reset_Pump_Differential_Signal</v>
      </c>
      <c r="C18" t="str">
        <f>'Point List'!L15</f>
        <v>BitAddress</v>
      </c>
      <c r="D18" t="s">
        <v>220</v>
      </c>
      <c r="E18" t="str">
        <f>'Point List'!J15</f>
        <v>012301</v>
      </c>
      <c r="K18" t="str">
        <f t="shared" si="0"/>
        <v>Reset_Pump_Differential_Signal,,BitAddress,PLC1,012301,,</v>
      </c>
      <c r="O18" t="s">
        <v>242</v>
      </c>
    </row>
    <row r="19" spans="1:15" x14ac:dyDescent="0.3">
      <c r="A19" t="str">
        <f>'Point List'!C16</f>
        <v>Fault_ACK</v>
      </c>
      <c r="C19" t="str">
        <f>'Point List'!L16</f>
        <v>BitAddress</v>
      </c>
      <c r="D19" t="s">
        <v>220</v>
      </c>
      <c r="E19" t="str">
        <f>'Point List'!J16</f>
        <v>012302</v>
      </c>
      <c r="K19" t="str">
        <f t="shared" si="0"/>
        <v>Fault_ACK,,BitAddress,PLC1,012302,,</v>
      </c>
      <c r="O19" t="s">
        <v>243</v>
      </c>
    </row>
    <row r="20" spans="1:15" x14ac:dyDescent="0.3">
      <c r="A20" t="str">
        <f>'Point List'!C19</f>
        <v>System_On</v>
      </c>
      <c r="C20" t="str">
        <f>'Point List'!L19</f>
        <v>BitAddress</v>
      </c>
      <c r="D20" t="s">
        <v>220</v>
      </c>
      <c r="E20" t="str">
        <f>'Point List'!J19</f>
        <v>012305</v>
      </c>
      <c r="K20" t="str">
        <f t="shared" si="0"/>
        <v>System_On,,BitAddress,PLC1,012305,,</v>
      </c>
      <c r="O20" t="s">
        <v>244</v>
      </c>
    </row>
    <row r="21" spans="1:15" x14ac:dyDescent="0.3">
      <c r="A21" t="str">
        <f>'Point List'!C20</f>
        <v>System_Shutting_Down</v>
      </c>
      <c r="C21" t="str">
        <f>'Point List'!L20</f>
        <v>BitAddress</v>
      </c>
      <c r="D21" t="s">
        <v>220</v>
      </c>
      <c r="E21" t="str">
        <f>'Point List'!J20</f>
        <v>012306</v>
      </c>
      <c r="K21" t="str">
        <f t="shared" si="0"/>
        <v>System_Shutting_Down,,BitAddress,PLC1,012306,,</v>
      </c>
      <c r="O21" t="s">
        <v>245</v>
      </c>
    </row>
    <row r="22" spans="1:15" x14ac:dyDescent="0.3">
      <c r="A22" t="str">
        <f>'Point List'!C21</f>
        <v>System_Initializing</v>
      </c>
      <c r="C22" t="str">
        <f>'Point List'!L21</f>
        <v>BitAddress</v>
      </c>
      <c r="D22" t="s">
        <v>220</v>
      </c>
      <c r="E22" t="str">
        <f>'Point List'!J21</f>
        <v>012307</v>
      </c>
      <c r="K22" t="str">
        <f t="shared" si="0"/>
        <v>System_Initializing,,BitAddress,PLC1,012307,,</v>
      </c>
      <c r="O22" t="s">
        <v>246</v>
      </c>
    </row>
    <row r="23" spans="1:15" x14ac:dyDescent="0.3">
      <c r="A23" t="str">
        <f>'Point List'!C22</f>
        <v>System_Calibrating</v>
      </c>
      <c r="C23" t="str">
        <f>'Point List'!L22</f>
        <v>BitAddress</v>
      </c>
      <c r="D23" t="s">
        <v>220</v>
      </c>
      <c r="E23" t="str">
        <f>'Point List'!J22</f>
        <v>012308</v>
      </c>
      <c r="K23" t="str">
        <f t="shared" si="0"/>
        <v>System_Calibrating,,BitAddress,PLC1,012308,,</v>
      </c>
      <c r="O23" t="s">
        <v>247</v>
      </c>
    </row>
    <row r="24" spans="1:15" x14ac:dyDescent="0.3">
      <c r="A24" t="str">
        <f>'Point List'!C23</f>
        <v>Measured_Pump_Power</v>
      </c>
      <c r="C24" t="str">
        <f>'Point List'!L23</f>
        <v>WordAddress</v>
      </c>
      <c r="D24" t="s">
        <v>220</v>
      </c>
      <c r="E24" t="str">
        <f>'Point List'!J23</f>
        <v>412557</v>
      </c>
      <c r="K24" t="str">
        <f t="shared" si="0"/>
        <v>Measured_Pump_Power,,WordAddress,PLC1,412557,,</v>
      </c>
      <c r="O24" t="s">
        <v>248</v>
      </c>
    </row>
    <row r="25" spans="1:15" x14ac:dyDescent="0.3">
      <c r="A25" t="str">
        <f>'Point List'!C24</f>
        <v>Measured_Inlet_Coolant_Temperature</v>
      </c>
      <c r="C25" t="str">
        <f>'Point List'!L24</f>
        <v>WordAddress</v>
      </c>
      <c r="D25" t="s">
        <v>220</v>
      </c>
      <c r="E25" t="str">
        <f>'Point List'!J24</f>
        <v>412559</v>
      </c>
      <c r="K25" t="str">
        <f t="shared" si="0"/>
        <v>Measured_Inlet_Coolant_Temperature,,WordAddress,PLC1,412559,,</v>
      </c>
      <c r="O25" t="s">
        <v>249</v>
      </c>
    </row>
    <row r="26" spans="1:15" x14ac:dyDescent="0.3">
      <c r="A26" t="str">
        <f>'Point List'!C25</f>
        <v>Measured_Conductivity</v>
      </c>
      <c r="C26" t="str">
        <f>'Point List'!L25</f>
        <v>WordAddress</v>
      </c>
      <c r="D26" t="s">
        <v>220</v>
      </c>
      <c r="E26" t="str">
        <f>'Point List'!J25</f>
        <v>412561</v>
      </c>
      <c r="K26" t="str">
        <f t="shared" si="0"/>
        <v>Measured_Conductivity,,WordAddress,PLC1,412561,,</v>
      </c>
      <c r="O26" t="s">
        <v>250</v>
      </c>
    </row>
    <row r="27" spans="1:15" x14ac:dyDescent="0.3">
      <c r="A27" t="str">
        <f>'Point List'!C26</f>
        <v>Measured_Flow</v>
      </c>
      <c r="C27" t="str">
        <f>'Point List'!L26</f>
        <v>WordAddress</v>
      </c>
      <c r="D27" t="s">
        <v>220</v>
      </c>
      <c r="E27" t="str">
        <f>'Point List'!J26</f>
        <v>412563</v>
      </c>
      <c r="K27" t="str">
        <f t="shared" si="0"/>
        <v>Measured_Flow,,WordAddress,PLC1,412563,,</v>
      </c>
      <c r="O27" t="s">
        <v>251</v>
      </c>
    </row>
    <row r="28" spans="1:15" x14ac:dyDescent="0.3">
      <c r="A28" t="str">
        <f>'Point List'!C27</f>
        <v>Valve_Open_Percentage</v>
      </c>
      <c r="C28" t="str">
        <f>'Point List'!L27</f>
        <v>WordAddress</v>
      </c>
      <c r="D28" t="s">
        <v>220</v>
      </c>
      <c r="E28" t="str">
        <f>'Point List'!J27</f>
        <v>412565</v>
      </c>
      <c r="K28" t="str">
        <f t="shared" si="0"/>
        <v>Valve_Open_Percentage,,WordAddress,PLC1,412565,,</v>
      </c>
      <c r="O28" t="s">
        <v>252</v>
      </c>
    </row>
    <row r="29" spans="1:15" x14ac:dyDescent="0.3">
      <c r="A29" t="str">
        <f>'Point List'!C28</f>
        <v>Real_RTD_1_Signal</v>
      </c>
      <c r="C29" t="str">
        <f>'Point List'!L28</f>
        <v>WordAddress</v>
      </c>
      <c r="D29" t="s">
        <v>220</v>
      </c>
      <c r="E29" t="str">
        <f>'Point List'!J28</f>
        <v>412567</v>
      </c>
      <c r="K29" t="str">
        <f t="shared" si="0"/>
        <v>Real_RTD_1_Signal,,WordAddress,PLC1,412567,,</v>
      </c>
      <c r="O29" t="s">
        <v>253</v>
      </c>
    </row>
    <row r="30" spans="1:15" x14ac:dyDescent="0.3">
      <c r="A30" t="str">
        <f>'Point List'!C29</f>
        <v>Real_RTD_2_Signal</v>
      </c>
      <c r="C30" t="str">
        <f>'Point List'!L29</f>
        <v>WordAddress</v>
      </c>
      <c r="D30" t="s">
        <v>220</v>
      </c>
      <c r="E30" t="str">
        <f>'Point List'!J29</f>
        <v>412569</v>
      </c>
      <c r="K30" t="str">
        <f t="shared" si="0"/>
        <v>Real_RTD_2_Signal,,WordAddress,PLC1,412569,,</v>
      </c>
      <c r="O30" t="s">
        <v>254</v>
      </c>
    </row>
    <row r="31" spans="1:15" x14ac:dyDescent="0.3">
      <c r="A31" t="str">
        <f>'Point List'!C30</f>
        <v>Real_RTD_3_Signal</v>
      </c>
      <c r="C31" t="str">
        <f>'Point List'!L30</f>
        <v>WordAddress</v>
      </c>
      <c r="D31" t="s">
        <v>220</v>
      </c>
      <c r="E31" t="str">
        <f>'Point List'!J30</f>
        <v>412571</v>
      </c>
      <c r="K31" t="str">
        <f t="shared" si="0"/>
        <v>Real_RTD_3_Signal,,WordAddress,PLC1,412571,,</v>
      </c>
      <c r="O31" t="s">
        <v>255</v>
      </c>
    </row>
    <row r="32" spans="1:15" x14ac:dyDescent="0.3">
      <c r="A32" t="str">
        <f>'Point List'!C32</f>
        <v>Measured_Valve_Position_</v>
      </c>
      <c r="C32" t="str">
        <f>'Point List'!L32</f>
        <v>WordAddress</v>
      </c>
      <c r="D32" t="s">
        <v>220</v>
      </c>
      <c r="E32" t="str">
        <f>'Point List'!J32</f>
        <v>412575</v>
      </c>
      <c r="K32" t="str">
        <f t="shared" si="0"/>
        <v>Measured_Valve_Position_,,WordAddress,PLC1,412575,,</v>
      </c>
      <c r="O32" t="s">
        <v>256</v>
      </c>
    </row>
    <row r="33" spans="1:15" x14ac:dyDescent="0.3">
      <c r="A33" t="str">
        <f>'Point List'!C33</f>
        <v>Debounced_Water_Level_Low_Signal</v>
      </c>
      <c r="C33" t="str">
        <f>'Point List'!L33</f>
        <v>WordAddress</v>
      </c>
      <c r="D33" t="s">
        <v>220</v>
      </c>
      <c r="E33" t="str">
        <f>'Point List'!J33</f>
        <v>012309</v>
      </c>
      <c r="K33" t="str">
        <f t="shared" si="0"/>
        <v>Debounced_Water_Level_Low_Signal,,WordAddress,PLC1,012309,,</v>
      </c>
      <c r="O33" t="s">
        <v>257</v>
      </c>
    </row>
    <row r="34" spans="1:15" x14ac:dyDescent="0.3">
      <c r="A34" t="str">
        <f>'Point List'!C38</f>
        <v>Output_Water_Level_Low_Signal</v>
      </c>
      <c r="C34" t="str">
        <f>'Point List'!L38</f>
        <v>BitAddress</v>
      </c>
      <c r="D34" t="s">
        <v>220</v>
      </c>
      <c r="E34" t="str">
        <f>'Point List'!J38</f>
        <v>012314</v>
      </c>
      <c r="K34" t="str">
        <f t="shared" si="0"/>
        <v>Output_Water_Level_Low_Signal,,BitAddress,PLC1,012314,,</v>
      </c>
      <c r="O34" t="s">
        <v>258</v>
      </c>
    </row>
    <row r="35" spans="1:15" x14ac:dyDescent="0.3">
      <c r="A35" t="str">
        <f>'Point List'!C39</f>
        <v>Output_Water_Level_Low_Low_Signal</v>
      </c>
      <c r="C35" t="str">
        <f>'Point List'!L39</f>
        <v>BitAddress</v>
      </c>
      <c r="D35" t="s">
        <v>220</v>
      </c>
      <c r="E35" t="str">
        <f>'Point List'!J39</f>
        <v>012315</v>
      </c>
      <c r="K35" t="str">
        <f t="shared" si="0"/>
        <v>Output_Water_Level_Low_Low_Signal,,BitAddress,PLC1,012315,,</v>
      </c>
      <c r="O35" t="s">
        <v>259</v>
      </c>
    </row>
    <row r="36" spans="1:15" x14ac:dyDescent="0.3">
      <c r="A36" t="str">
        <f>'Point List'!C40</f>
        <v>Output_Pressure_Signal</v>
      </c>
      <c r="C36" t="str">
        <f>'Point List'!L40</f>
        <v>BitAddress</v>
      </c>
      <c r="D36" t="s">
        <v>220</v>
      </c>
      <c r="E36" t="str">
        <f>'Point List'!J40</f>
        <v>012316</v>
      </c>
      <c r="K36" t="str">
        <f t="shared" si="0"/>
        <v>Output_Pressure_Signal,,BitAddress,PLC1,012316,,</v>
      </c>
      <c r="O36" t="s">
        <v>260</v>
      </c>
    </row>
    <row r="37" spans="1:15" x14ac:dyDescent="0.3">
      <c r="A37" t="str">
        <f>'Point List'!C41</f>
        <v>Output_Conductivity_Alarm_Signal</v>
      </c>
      <c r="C37" t="str">
        <f>'Point List'!L41</f>
        <v>BitAddress</v>
      </c>
      <c r="D37" t="s">
        <v>220</v>
      </c>
      <c r="E37" t="str">
        <f>'Point List'!J41</f>
        <v>012317</v>
      </c>
      <c r="K37" t="str">
        <f t="shared" si="0"/>
        <v>Output_Conductivity_Alarm_Signal,,BitAddress,PLC1,012317,,</v>
      </c>
      <c r="O37" t="s">
        <v>261</v>
      </c>
    </row>
    <row r="38" spans="1:15" x14ac:dyDescent="0.3">
      <c r="A38" t="str">
        <f>'Point List'!C42</f>
        <v>Output_Conductivity_Fault_Signal</v>
      </c>
      <c r="C38" t="str">
        <f>'Point List'!L42</f>
        <v>BitAddress</v>
      </c>
      <c r="D38" t="s">
        <v>220</v>
      </c>
      <c r="E38" t="str">
        <f>'Point List'!J42</f>
        <v>012318</v>
      </c>
      <c r="K38" t="str">
        <f t="shared" si="0"/>
        <v>Output_Conductivity_Fault_Signal,,BitAddress,PLC1,012318,,</v>
      </c>
      <c r="O38" t="s">
        <v>262</v>
      </c>
    </row>
    <row r="39" spans="1:15" x14ac:dyDescent="0.3">
      <c r="A39" t="str">
        <f>'Point List'!C45</f>
        <v>Measured_Active_Pump__Voltage</v>
      </c>
      <c r="C39" t="str">
        <f>'Point List'!L45</f>
        <v>WordAddress</v>
      </c>
      <c r="D39" t="s">
        <v>220</v>
      </c>
      <c r="E39" t="str">
        <f>'Point List'!J45</f>
        <v>412577</v>
      </c>
      <c r="K39" t="str">
        <f t="shared" si="0"/>
        <v>Measured_Active_Pump__Voltage,,WordAddress,PLC1,412577,,</v>
      </c>
      <c r="O39" t="s">
        <v>263</v>
      </c>
    </row>
    <row r="40" spans="1:15" x14ac:dyDescent="0.3">
      <c r="A40" t="str">
        <f>'Point List'!C46</f>
        <v>Measured_Active_Pump__Current</v>
      </c>
      <c r="C40" t="str">
        <f>'Point List'!L46</f>
        <v>WordAddress</v>
      </c>
      <c r="D40" t="s">
        <v>220</v>
      </c>
      <c r="E40" t="str">
        <f>'Point List'!J46</f>
        <v>412579</v>
      </c>
      <c r="K40" t="str">
        <f t="shared" si="0"/>
        <v>Measured_Active_Pump__Current,,WordAddress,PLC1,412579,,</v>
      </c>
      <c r="O40" t="s">
        <v>264</v>
      </c>
    </row>
    <row r="41" spans="1:15" x14ac:dyDescent="0.3">
      <c r="A41" t="str">
        <f>'Point List'!C49</f>
        <v>Pump_1_Total_Hours</v>
      </c>
      <c r="C41" t="str">
        <f>'Point List'!L49</f>
        <v>WordAddress</v>
      </c>
      <c r="D41" t="s">
        <v>220</v>
      </c>
      <c r="E41" t="str">
        <f>'Point List'!J49</f>
        <v>412455</v>
      </c>
      <c r="K41" t="str">
        <f t="shared" si="0"/>
        <v>Pump_1_Total_Hours,,WordAddress,PLC1,412455,,</v>
      </c>
      <c r="O41" t="s">
        <v>265</v>
      </c>
    </row>
    <row r="42" spans="1:15" x14ac:dyDescent="0.3">
      <c r="A42" t="str">
        <f>'Point List'!C50</f>
        <v>Pump_2_Total_Hours</v>
      </c>
      <c r="C42" t="str">
        <f>'Point List'!L50</f>
        <v>WordAddress</v>
      </c>
      <c r="D42" t="s">
        <v>220</v>
      </c>
      <c r="E42" t="str">
        <f>'Point List'!J50</f>
        <v>412457</v>
      </c>
      <c r="K42" t="str">
        <f t="shared" si="0"/>
        <v>Pump_2_Total_Hours,,WordAddress,PLC1,412457,,</v>
      </c>
      <c r="O42" t="s">
        <v>266</v>
      </c>
    </row>
    <row r="43" spans="1:15" x14ac:dyDescent="0.3">
      <c r="A43" t="str">
        <f>'Point List'!C51</f>
        <v>High_Coolant_Temperature_</v>
      </c>
      <c r="C43" t="str">
        <f>'Point List'!L51</f>
        <v>BitAddress</v>
      </c>
      <c r="D43" t="s">
        <v>220</v>
      </c>
      <c r="E43" t="str">
        <f>'Point List'!J51</f>
        <v>012320</v>
      </c>
      <c r="K43" t="str">
        <f t="shared" si="0"/>
        <v>High_Coolant_Temperature_,,BitAddress,PLC1,012320,,</v>
      </c>
      <c r="O43" t="s">
        <v>267</v>
      </c>
    </row>
    <row r="44" spans="1:15" x14ac:dyDescent="0.3">
      <c r="A44" t="str">
        <f>'Point List'!C52</f>
        <v>Low_Coolant_Level_in_Vessel</v>
      </c>
      <c r="C44" t="str">
        <f>'Point List'!L52</f>
        <v>BitAddress</v>
      </c>
      <c r="D44" t="s">
        <v>220</v>
      </c>
      <c r="E44" t="str">
        <f>'Point List'!J52</f>
        <v>012321</v>
      </c>
      <c r="K44" t="str">
        <f t="shared" si="0"/>
        <v>Low_Coolant_Level_in_Vessel,,BitAddress,PLC1,012321,,</v>
      </c>
      <c r="O44" t="s">
        <v>268</v>
      </c>
    </row>
    <row r="45" spans="1:15" x14ac:dyDescent="0.3">
      <c r="A45" t="str">
        <f>'Point List'!C53</f>
        <v>High_Coolant_Conductivity_</v>
      </c>
      <c r="C45" t="str">
        <f>'Point List'!L53</f>
        <v>BitAddress</v>
      </c>
      <c r="D45" t="s">
        <v>220</v>
      </c>
      <c r="E45" t="str">
        <f>'Point List'!J53</f>
        <v>012322</v>
      </c>
      <c r="K45" t="str">
        <f t="shared" si="0"/>
        <v>High_Coolant_Conductivity_,,BitAddress,PLC1,012322,,</v>
      </c>
      <c r="O45" t="s">
        <v>269</v>
      </c>
    </row>
    <row r="46" spans="1:15" x14ac:dyDescent="0.3">
      <c r="A46" t="str">
        <f>'Point List'!C54</f>
        <v>Low_Hydraulic_Power</v>
      </c>
      <c r="C46" t="str">
        <f>'Point List'!L54</f>
        <v>BitAddress</v>
      </c>
      <c r="D46" t="s">
        <v>220</v>
      </c>
      <c r="E46" t="str">
        <f>'Point List'!J54</f>
        <v>012323</v>
      </c>
      <c r="K46" t="str">
        <f t="shared" si="0"/>
        <v>Low_Hydraulic_Power,,BitAddress,PLC1,012323,,</v>
      </c>
      <c r="O46" t="s">
        <v>270</v>
      </c>
    </row>
    <row r="47" spans="1:15" x14ac:dyDescent="0.3">
      <c r="A47" t="str">
        <f>'Point List'!C55</f>
        <v>Low_Hydraulic_Flow</v>
      </c>
      <c r="C47" t="str">
        <f>'Point List'!L55</f>
        <v>BitAddress</v>
      </c>
      <c r="D47" t="s">
        <v>220</v>
      </c>
      <c r="E47" t="str">
        <f>'Point List'!J55</f>
        <v>012324</v>
      </c>
      <c r="K47" t="str">
        <f t="shared" si="0"/>
        <v>Low_Hydraulic_Flow,,BitAddress,PLC1,012324,,</v>
      </c>
      <c r="O47" t="s">
        <v>271</v>
      </c>
    </row>
    <row r="48" spans="1:15" x14ac:dyDescent="0.3">
      <c r="A48" t="str">
        <f>'Point List'!C56</f>
        <v>Low_Hydraulic_Pressure</v>
      </c>
      <c r="C48" t="str">
        <f>'Point List'!L56</f>
        <v>BitAddress</v>
      </c>
      <c r="D48" t="s">
        <v>220</v>
      </c>
      <c r="E48" t="str">
        <f>'Point List'!J56</f>
        <v>012325</v>
      </c>
      <c r="K48" t="str">
        <f t="shared" si="0"/>
        <v>Low_Hydraulic_Pressure,,BitAddress,PLC1,012325,,</v>
      </c>
      <c r="O48" t="s">
        <v>272</v>
      </c>
    </row>
    <row r="49" spans="1:15" x14ac:dyDescent="0.3">
      <c r="A49" t="str">
        <f>'Point List'!C57</f>
        <v>Voltage_Signal_Malfunction</v>
      </c>
      <c r="C49" t="str">
        <f>'Point List'!L57</f>
        <v>BitAddress</v>
      </c>
      <c r="D49" t="s">
        <v>220</v>
      </c>
      <c r="E49" t="str">
        <f>'Point List'!J57</f>
        <v>012326</v>
      </c>
      <c r="K49" t="str">
        <f t="shared" si="0"/>
        <v>Voltage_Signal_Malfunction,,BitAddress,PLC1,012326,,</v>
      </c>
      <c r="O49" t="s">
        <v>273</v>
      </c>
    </row>
    <row r="50" spans="1:15" x14ac:dyDescent="0.3">
      <c r="A50" t="str">
        <f>'Point List'!C58</f>
        <v>Current_Signal_Malfunction</v>
      </c>
      <c r="C50" t="str">
        <f>'Point List'!L58</f>
        <v>BitAddress</v>
      </c>
      <c r="D50" t="s">
        <v>220</v>
      </c>
      <c r="E50" t="str">
        <f>'Point List'!J58</f>
        <v>012327</v>
      </c>
      <c r="K50" t="str">
        <f t="shared" si="0"/>
        <v>Current_Signal_Malfunction,,BitAddress,PLC1,012327,,</v>
      </c>
      <c r="O50" t="s">
        <v>274</v>
      </c>
    </row>
    <row r="51" spans="1:15" x14ac:dyDescent="0.3">
      <c r="A51" t="str">
        <f>'Point List'!C59</f>
        <v>Primary_Hydraulic_Failure</v>
      </c>
      <c r="C51" t="str">
        <f>'Point List'!L59</f>
        <v>BitAddress</v>
      </c>
      <c r="D51" t="s">
        <v>220</v>
      </c>
      <c r="E51" t="str">
        <f>'Point List'!J59</f>
        <v>012328</v>
      </c>
      <c r="K51" t="str">
        <f t="shared" si="0"/>
        <v>Primary_Hydraulic_Failure,,BitAddress,PLC1,012328,,</v>
      </c>
      <c r="O51" t="s">
        <v>275</v>
      </c>
    </row>
    <row r="52" spans="1:15" x14ac:dyDescent="0.3">
      <c r="A52" t="str">
        <f>'Point List'!C60</f>
        <v>Secondary_Hydraulic_Failure</v>
      </c>
      <c r="C52" t="str">
        <f>'Point List'!L60</f>
        <v>BitAddress</v>
      </c>
      <c r="D52" t="s">
        <v>220</v>
      </c>
      <c r="E52" t="str">
        <f>'Point List'!J60</f>
        <v>012329</v>
      </c>
      <c r="K52" t="str">
        <f t="shared" si="0"/>
        <v>Secondary_Hydraulic_Failure,,BitAddress,PLC1,012329,,</v>
      </c>
      <c r="O52" t="s">
        <v>276</v>
      </c>
    </row>
    <row r="53" spans="1:15" x14ac:dyDescent="0.3">
      <c r="A53" t="str">
        <f>'Point List'!C61</f>
        <v>Automatic_Valve_Control_Disabled</v>
      </c>
      <c r="C53" t="str">
        <f>'Point List'!L61</f>
        <v>BitAddress</v>
      </c>
      <c r="D53" t="s">
        <v>220</v>
      </c>
      <c r="E53" t="str">
        <f>'Point List'!J61</f>
        <v>012330</v>
      </c>
      <c r="K53" t="str">
        <f t="shared" si="0"/>
        <v>Automatic_Valve_Control_Disabled,,BitAddress,PLC1,012330,,</v>
      </c>
      <c r="O53" t="s">
        <v>277</v>
      </c>
    </row>
    <row r="54" spans="1:15" x14ac:dyDescent="0.3">
      <c r="A54" t="str">
        <f>'Point List'!C62</f>
        <v>Automatic_Fan_Control_Disabled</v>
      </c>
      <c r="C54" t="str">
        <f>'Point List'!L62</f>
        <v>BitAddress</v>
      </c>
      <c r="D54" t="s">
        <v>220</v>
      </c>
      <c r="E54" t="str">
        <f>'Point List'!J62</f>
        <v>012331</v>
      </c>
      <c r="K54" t="str">
        <f t="shared" si="0"/>
        <v>Automatic_Fan_Control_Disabled,,BitAddress,PLC1,012331,,</v>
      </c>
      <c r="O54" t="s">
        <v>278</v>
      </c>
    </row>
    <row r="55" spans="1:15" x14ac:dyDescent="0.3">
      <c r="A55" t="str">
        <f>'Point List'!C63</f>
        <v>Flow_Signal_Malfunction</v>
      </c>
      <c r="C55" t="str">
        <f>'Point List'!L63</f>
        <v>BitAddress</v>
      </c>
      <c r="D55" t="s">
        <v>220</v>
      </c>
      <c r="E55" t="str">
        <f>'Point List'!J63</f>
        <v>012332</v>
      </c>
      <c r="K55" t="str">
        <f t="shared" si="0"/>
        <v>Flow_Signal_Malfunction,,BitAddress,PLC1,012332,,</v>
      </c>
      <c r="O55" t="s">
        <v>279</v>
      </c>
    </row>
    <row r="56" spans="1:15" x14ac:dyDescent="0.3">
      <c r="A56" t="str">
        <f>'Point List'!C64</f>
        <v>Bad_RTD_1_Signal</v>
      </c>
      <c r="C56" t="str">
        <f>'Point List'!L64</f>
        <v>BitAddress</v>
      </c>
      <c r="D56" t="s">
        <v>220</v>
      </c>
      <c r="E56" t="str">
        <f>'Point List'!J64</f>
        <v>012333</v>
      </c>
      <c r="K56" t="str">
        <f t="shared" si="0"/>
        <v>Bad_RTD_1_Signal,,BitAddress,PLC1,012333,,</v>
      </c>
      <c r="O56" t="s">
        <v>280</v>
      </c>
    </row>
    <row r="57" spans="1:15" x14ac:dyDescent="0.3">
      <c r="A57" t="str">
        <f>'Point List'!C65</f>
        <v>Bad_RTD_2_Signal</v>
      </c>
      <c r="C57" t="str">
        <f>'Point List'!L65</f>
        <v>BitAddress</v>
      </c>
      <c r="D57" t="s">
        <v>220</v>
      </c>
      <c r="E57" t="str">
        <f>'Point List'!J65</f>
        <v>012334</v>
      </c>
      <c r="K57" t="str">
        <f t="shared" si="0"/>
        <v>Bad_RTD_2_Signal,,BitAddress,PLC1,012334,,</v>
      </c>
      <c r="O57" t="s">
        <v>281</v>
      </c>
    </row>
    <row r="58" spans="1:15" x14ac:dyDescent="0.3">
      <c r="A58" t="str">
        <f>'Point List'!C66</f>
        <v>Bad_RTD_3_Signal</v>
      </c>
      <c r="C58" t="str">
        <f>'Point List'!L66</f>
        <v>BitAddress</v>
      </c>
      <c r="D58" t="s">
        <v>220</v>
      </c>
      <c r="E58" t="str">
        <f>'Point List'!J66</f>
        <v>012335</v>
      </c>
      <c r="K58" t="str">
        <f t="shared" si="0"/>
        <v>Bad_RTD_3_Signal,,BitAddress,PLC1,012335,,</v>
      </c>
      <c r="O58" t="s">
        <v>282</v>
      </c>
    </row>
    <row r="59" spans="1:15" x14ac:dyDescent="0.3">
      <c r="A59" t="str">
        <f>'Point List'!C67</f>
        <v>Pump_Cycle_Alarm</v>
      </c>
      <c r="C59" t="str">
        <f>'Point List'!L67</f>
        <v>BitAddress</v>
      </c>
      <c r="D59" t="s">
        <v>220</v>
      </c>
      <c r="E59" t="str">
        <f>'Point List'!J67</f>
        <v>012336</v>
      </c>
      <c r="K59" t="str">
        <f t="shared" si="0"/>
        <v>Pump_Cycle_Alarm,,BitAddress,PLC1,012336,,</v>
      </c>
      <c r="O59" t="s">
        <v>283</v>
      </c>
    </row>
    <row r="60" spans="1:15" x14ac:dyDescent="0.3">
      <c r="A60" t="str">
        <f>'Point List'!C68</f>
        <v>Critical_Temperature</v>
      </c>
      <c r="C60" t="str">
        <f>'Point List'!L68</f>
        <v>BitAddress</v>
      </c>
      <c r="D60" t="s">
        <v>220</v>
      </c>
      <c r="E60" t="str">
        <f>'Point List'!J68</f>
        <v>012337</v>
      </c>
      <c r="K60" t="str">
        <f t="shared" ref="K60:K68" si="1">_xlfn.CONCAT(A60,",",B60,",",C60,",",D60,",",E60,",",F60,",",G60)</f>
        <v>Critical_Temperature,,BitAddress,PLC1,012337,,</v>
      </c>
      <c r="O60" t="s">
        <v>284</v>
      </c>
    </row>
    <row r="61" spans="1:15" x14ac:dyDescent="0.3">
      <c r="A61" t="str">
        <f>'Point List'!C69</f>
        <v>Critical_Vessel_Level</v>
      </c>
      <c r="C61" t="str">
        <f>'Point List'!L69</f>
        <v>BitAddress</v>
      </c>
      <c r="D61" t="s">
        <v>220</v>
      </c>
      <c r="E61" t="str">
        <f>'Point List'!J69</f>
        <v>012338</v>
      </c>
      <c r="K61" t="str">
        <f t="shared" si="1"/>
        <v>Critical_Vessel_Level,,BitAddress,PLC1,012338,,</v>
      </c>
      <c r="O61" t="s">
        <v>285</v>
      </c>
    </row>
    <row r="62" spans="1:15" x14ac:dyDescent="0.3">
      <c r="A62" t="str">
        <f>'Point List'!C70</f>
        <v>Critical_Conductivity</v>
      </c>
      <c r="C62" t="str">
        <f>'Point List'!L70</f>
        <v>BitAddress</v>
      </c>
      <c r="D62" t="s">
        <v>220</v>
      </c>
      <c r="E62" t="str">
        <f>'Point List'!J70</f>
        <v>012339</v>
      </c>
      <c r="K62" t="str">
        <f t="shared" si="1"/>
        <v>Critical_Conductivity,,BitAddress,PLC1,012339,,</v>
      </c>
      <c r="O62" t="s">
        <v>286</v>
      </c>
    </row>
    <row r="63" spans="1:15" x14ac:dyDescent="0.3">
      <c r="A63" t="str">
        <f>'Point List'!C71</f>
        <v>Level_Sensor_Malfunction</v>
      </c>
      <c r="C63" t="str">
        <f>'Point List'!L71</f>
        <v>BitAddress</v>
      </c>
      <c r="D63" t="s">
        <v>220</v>
      </c>
      <c r="E63" t="str">
        <f>'Point List'!J71</f>
        <v>012340</v>
      </c>
      <c r="K63" t="str">
        <f t="shared" si="1"/>
        <v>Level_Sensor_Malfunction,,BitAddress,PLC1,012340,,</v>
      </c>
      <c r="O63" t="s">
        <v>287</v>
      </c>
    </row>
    <row r="64" spans="1:15" x14ac:dyDescent="0.3">
      <c r="A64" t="str">
        <f>'Point List'!C72</f>
        <v>Conductivity_Sensor_Malfunction</v>
      </c>
      <c r="C64" t="str">
        <f>'Point List'!L72</f>
        <v>BitAddress</v>
      </c>
      <c r="D64" t="s">
        <v>220</v>
      </c>
      <c r="E64" t="str">
        <f>'Point List'!J72</f>
        <v>012341</v>
      </c>
      <c r="K64" t="str">
        <f t="shared" si="1"/>
        <v>Conductivity_Sensor_Malfunction,,BitAddress,PLC1,012341,,</v>
      </c>
      <c r="O64" t="s">
        <v>288</v>
      </c>
    </row>
    <row r="65" spans="1:15" x14ac:dyDescent="0.3">
      <c r="A65" t="str">
        <f>'Point List'!C73</f>
        <v>Bingo_Pumps</v>
      </c>
      <c r="C65" t="str">
        <f>'Point List'!L73</f>
        <v>BitAddress</v>
      </c>
      <c r="D65" t="s">
        <v>220</v>
      </c>
      <c r="E65" t="str">
        <f>'Point List'!J73</f>
        <v>012342</v>
      </c>
      <c r="K65" t="str">
        <f t="shared" si="1"/>
        <v>Bingo_Pumps,,BitAddress,PLC1,012342,,</v>
      </c>
      <c r="O65" t="s">
        <v>289</v>
      </c>
    </row>
    <row r="66" spans="1:15" x14ac:dyDescent="0.3">
      <c r="A66" t="str">
        <f>'Point List'!C74</f>
        <v>Temperature_Sensor_Malfunction</v>
      </c>
      <c r="C66" t="str">
        <f>'Point List'!L74</f>
        <v>BitAddress</v>
      </c>
      <c r="D66" t="s">
        <v>220</v>
      </c>
      <c r="E66" t="str">
        <f>'Point List'!J74</f>
        <v>012343</v>
      </c>
      <c r="K66" t="str">
        <f t="shared" si="1"/>
        <v>Temperature_Sensor_Malfunction,,BitAddress,PLC1,012343,,</v>
      </c>
      <c r="O66" t="s">
        <v>290</v>
      </c>
    </row>
    <row r="67" spans="1:15" x14ac:dyDescent="0.3">
      <c r="A67" t="str">
        <f>'Point List'!C75</f>
        <v>Bad_Valve_Pos</v>
      </c>
      <c r="C67" t="str">
        <f>'Point List'!L75</f>
        <v>BitAddress</v>
      </c>
      <c r="D67" t="s">
        <v>220</v>
      </c>
      <c r="E67" t="str">
        <f>'Point List'!J75</f>
        <v>012344</v>
      </c>
      <c r="K67" t="str">
        <f t="shared" si="1"/>
        <v>Bad_Valve_Pos,,BitAddress,PLC1,012344,,</v>
      </c>
      <c r="O67" t="s">
        <v>291</v>
      </c>
    </row>
    <row r="68" spans="1:15" x14ac:dyDescent="0.3">
      <c r="A68" t="str">
        <f>'Point List'!C76</f>
        <v>Master_Fault_Signal</v>
      </c>
      <c r="C68" t="str">
        <f>'Point List'!L76</f>
        <v>BitAddress</v>
      </c>
      <c r="D68" t="s">
        <v>220</v>
      </c>
      <c r="E68" t="str">
        <f>'Point List'!J76</f>
        <v>012345</v>
      </c>
      <c r="K68" t="str">
        <f t="shared" si="1"/>
        <v>Master_Fault_Signal,,BitAddress,PLC1,012345,,</v>
      </c>
      <c r="O68" t="s">
        <v>292</v>
      </c>
    </row>
    <row r="69" spans="1:15" x14ac:dyDescent="0.3">
      <c r="A69" t="str">
        <f>'Point List'!C98</f>
        <v>Primary_Pump_Active</v>
      </c>
      <c r="C69" t="str">
        <f>'Point List'!L98</f>
        <v>BitAddress</v>
      </c>
      <c r="D69" t="s">
        <v>220</v>
      </c>
      <c r="E69" t="str">
        <f>'Point List'!J98</f>
        <v>012346</v>
      </c>
      <c r="K69" t="str">
        <f>_xlfn.CONCAT(A69,",",B69,",",C69,",",D69,",",E69,",",F69,",",G69)</f>
        <v>Primary_Pump_Active,,BitAddress,PLC1,012346,,</v>
      </c>
      <c r="O69" t="s">
        <v>293</v>
      </c>
    </row>
    <row r="70" spans="1:15" x14ac:dyDescent="0.3">
      <c r="A70" t="str">
        <f>'Point List'!C99</f>
        <v>Secondary_Pump__Active</v>
      </c>
      <c r="C70" t="str">
        <f>'Point List'!L99</f>
        <v>BitAddress</v>
      </c>
      <c r="D70" t="s">
        <v>220</v>
      </c>
      <c r="E70" t="str">
        <f>'Point List'!J99</f>
        <v>012347</v>
      </c>
      <c r="K70" t="str">
        <f>_xlfn.CONCAT(A70,",",B70,",",C70,",",D70,",",E70,",",F70,",",G70)</f>
        <v>Secondary_Pump__Active,,BitAddress,PLC1,012347,,</v>
      </c>
      <c r="O70" t="s">
        <v>294</v>
      </c>
    </row>
    <row r="71" spans="1:15" x14ac:dyDescent="0.3">
      <c r="A71" t="str">
        <f>'Point List'!C100</f>
        <v>Simplex_Mode_Active</v>
      </c>
      <c r="C71" t="str">
        <f>'Point List'!L100</f>
        <v>BitAddress</v>
      </c>
      <c r="D71" t="s">
        <v>220</v>
      </c>
      <c r="E71" t="str">
        <f>'Point List'!J100</f>
        <v>012348</v>
      </c>
      <c r="K71" t="str">
        <f>_xlfn.CONCAT(A71,",",B71,",",C71,",",D71,",",E71,",",F71,",",G71)</f>
        <v>Simplex_Mode_Active,,BitAddress,PLC1,012348,,</v>
      </c>
      <c r="O71" t="s">
        <v>295</v>
      </c>
    </row>
    <row r="72" spans="1:15" x14ac:dyDescent="0.3">
      <c r="A72" t="str">
        <f>'Point List'!C101</f>
        <v>Fan_1_Active</v>
      </c>
      <c r="C72" t="str">
        <f>'Point List'!L101</f>
        <v>BitAddress</v>
      </c>
      <c r="D72" t="s">
        <v>220</v>
      </c>
      <c r="E72" t="str">
        <f>'Point List'!J101</f>
        <v>012349</v>
      </c>
      <c r="K72" t="str">
        <f>_xlfn.CONCAT(A72,",",B72,",",C72,",",D72,",",E72,",",F72,",",G72)</f>
        <v>Fan_1_Active,,BitAddress,PLC1,012349,,</v>
      </c>
      <c r="O72" t="s">
        <v>296</v>
      </c>
    </row>
    <row r="73" spans="1:15" x14ac:dyDescent="0.3">
      <c r="A73" t="str">
        <f>'Point List'!C102</f>
        <v>Fan_2_Active</v>
      </c>
      <c r="C73" t="str">
        <f>'Point List'!L102</f>
        <v>BitAddress</v>
      </c>
      <c r="D73" t="s">
        <v>220</v>
      </c>
      <c r="E73" t="str">
        <f>'Point List'!J102</f>
        <v>012350</v>
      </c>
      <c r="K73" t="str">
        <f>_xlfn.CONCAT(A73,",",B73,",",C73,",",D73,",",E73,",",F73,",",G73)</f>
        <v>Fan_2_Active,,BitAddress,PLC1,012350,,</v>
      </c>
      <c r="O73" t="s">
        <v>297</v>
      </c>
    </row>
    <row r="74" spans="1:15" x14ac:dyDescent="0.3">
      <c r="A74" t="str">
        <f>'Point List'!C103</f>
        <v>Enable_Pump_Cycling</v>
      </c>
      <c r="C74" t="str">
        <f>'Point List'!L103</f>
        <v>BitAddress</v>
      </c>
      <c r="D74" t="s">
        <v>220</v>
      </c>
      <c r="E74" t="str">
        <f>'Point List'!J103</f>
        <v>012351</v>
      </c>
      <c r="K74" t="str">
        <f>_xlfn.CONCAT(A74,",",B74,",",C74,",",D74,",",E74,",",F74,",",G74)</f>
        <v>Enable_Pump_Cycling,,BitAddress,PLC1,012351,,</v>
      </c>
      <c r="O74" t="s">
        <v>298</v>
      </c>
    </row>
    <row r="75" spans="1:15" x14ac:dyDescent="0.3">
      <c r="A75" t="str">
        <f>'Point List'!C104</f>
        <v>System_Diagnostics</v>
      </c>
      <c r="C75" t="str">
        <f>'Point List'!L104</f>
        <v>BitAddress</v>
      </c>
      <c r="D75" t="s">
        <v>220</v>
      </c>
      <c r="E75" t="str">
        <f>'Point List'!J104</f>
        <v>012352</v>
      </c>
      <c r="K75" t="str">
        <f>_xlfn.CONCAT(A75,",",B75,",",C75,",",D75,",",E75,",",F75,",",G75)</f>
        <v>System_Diagnostics,,BitAddress,PLC1,012352,,</v>
      </c>
      <c r="O75" t="s">
        <v>299</v>
      </c>
    </row>
    <row r="76" spans="1:15" x14ac:dyDescent="0.3">
      <c r="A76" t="str">
        <f>'Point List'!C105</f>
        <v>Status_Indicator_Text</v>
      </c>
      <c r="C76" t="str">
        <f>'Point List'!L105</f>
        <v>WordAddress</v>
      </c>
      <c r="D76" t="s">
        <v>220</v>
      </c>
      <c r="E76" t="str">
        <f>'Point List'!J105</f>
        <v>412683</v>
      </c>
      <c r="K76" t="str">
        <f>_xlfn.CONCAT(A76,",",B76,",",C76,",",D76,",",E76,",",F76,",",G76)</f>
        <v>Status_Indicator_Text,,WordAddress,PLC1,412683,,</v>
      </c>
      <c r="O76" t="s">
        <v>300</v>
      </c>
    </row>
    <row r="77" spans="1:15" x14ac:dyDescent="0.3">
      <c r="A77">
        <f>'Point List'!C106</f>
        <v>0</v>
      </c>
      <c r="C77">
        <f>'Point List'!L106</f>
        <v>0</v>
      </c>
      <c r="D77" t="s">
        <v>220</v>
      </c>
      <c r="E77">
        <f>'Point List'!J106</f>
        <v>0</v>
      </c>
    </row>
    <row r="78" spans="1:15" x14ac:dyDescent="0.3">
      <c r="A78">
        <f>'Point List'!C107</f>
        <v>0</v>
      </c>
      <c r="C78">
        <f>'Point List'!L107</f>
        <v>0</v>
      </c>
      <c r="D78" t="s">
        <v>220</v>
      </c>
      <c r="E78">
        <f>'Point List'!J107</f>
        <v>0</v>
      </c>
    </row>
    <row r="79" spans="1:15" x14ac:dyDescent="0.3">
      <c r="A79">
        <f>'Point List'!C108</f>
        <v>0</v>
      </c>
      <c r="C79">
        <f>'Point List'!L108</f>
        <v>0</v>
      </c>
      <c r="D79" t="s">
        <v>220</v>
      </c>
      <c r="E79">
        <f>'Point List'!J108</f>
        <v>0</v>
      </c>
    </row>
    <row r="80" spans="1:15" x14ac:dyDescent="0.3">
      <c r="A80">
        <f>'Point List'!C109</f>
        <v>0</v>
      </c>
      <c r="C80">
        <f>'Point List'!L109</f>
        <v>0</v>
      </c>
      <c r="D80" t="s">
        <v>220</v>
      </c>
      <c r="E80">
        <f>'Point List'!J109</f>
        <v>0</v>
      </c>
    </row>
    <row r="81" spans="1:5" x14ac:dyDescent="0.3">
      <c r="A81">
        <f>'Point List'!C110</f>
        <v>0</v>
      </c>
      <c r="C81">
        <f>'Point List'!L110</f>
        <v>0</v>
      </c>
      <c r="D81" t="s">
        <v>220</v>
      </c>
      <c r="E81">
        <f>'Point List'!J110</f>
        <v>0</v>
      </c>
    </row>
    <row r="82" spans="1:5" x14ac:dyDescent="0.3">
      <c r="A82">
        <f>'Point List'!C111</f>
        <v>0</v>
      </c>
      <c r="C82">
        <f>'Point List'!L111</f>
        <v>0</v>
      </c>
      <c r="D82" t="s">
        <v>220</v>
      </c>
      <c r="E82">
        <f>'Point List'!J111</f>
        <v>0</v>
      </c>
    </row>
    <row r="83" spans="1:5" x14ac:dyDescent="0.3">
      <c r="A83">
        <f>'Point List'!C112</f>
        <v>0</v>
      </c>
      <c r="C83">
        <f>'Point List'!L112</f>
        <v>0</v>
      </c>
      <c r="D83" t="s">
        <v>220</v>
      </c>
      <c r="E83">
        <f>'Point List'!J112</f>
        <v>0</v>
      </c>
    </row>
    <row r="84" spans="1:5" x14ac:dyDescent="0.3">
      <c r="A84">
        <f>'Point List'!C113</f>
        <v>0</v>
      </c>
      <c r="C84">
        <f>'Point List'!L113</f>
        <v>0</v>
      </c>
      <c r="D84" t="s">
        <v>220</v>
      </c>
      <c r="E84">
        <f>'Point List'!J113</f>
        <v>0</v>
      </c>
    </row>
    <row r="85" spans="1:5" x14ac:dyDescent="0.3">
      <c r="A85">
        <f>'Point List'!C114</f>
        <v>0</v>
      </c>
      <c r="C85">
        <f>'Point List'!L114</f>
        <v>0</v>
      </c>
      <c r="D85" t="s">
        <v>220</v>
      </c>
      <c r="E85">
        <f>'Point List'!J114</f>
        <v>0</v>
      </c>
    </row>
    <row r="86" spans="1:5" x14ac:dyDescent="0.3">
      <c r="A86">
        <f>'Point List'!C115</f>
        <v>0</v>
      </c>
      <c r="C86">
        <f>'Point List'!L115</f>
        <v>0</v>
      </c>
      <c r="D86" t="s">
        <v>220</v>
      </c>
      <c r="E86">
        <f>'Point List'!J115</f>
        <v>0</v>
      </c>
    </row>
    <row r="87" spans="1:5" x14ac:dyDescent="0.3">
      <c r="A87">
        <f>'Point List'!C116</f>
        <v>0</v>
      </c>
      <c r="C87">
        <f>'Point List'!L116</f>
        <v>0</v>
      </c>
      <c r="D87" t="s">
        <v>220</v>
      </c>
      <c r="E87">
        <f>'Point List'!J116</f>
        <v>0</v>
      </c>
    </row>
    <row r="88" spans="1:5" x14ac:dyDescent="0.3">
      <c r="A88">
        <f>'Point List'!C117</f>
        <v>0</v>
      </c>
      <c r="C88">
        <f>'Point List'!L117</f>
        <v>0</v>
      </c>
      <c r="D88" t="s">
        <v>220</v>
      </c>
      <c r="E88">
        <f>'Point List'!J117</f>
        <v>0</v>
      </c>
    </row>
    <row r="89" spans="1:5" x14ac:dyDescent="0.3">
      <c r="A89">
        <f>'Point List'!C118</f>
        <v>0</v>
      </c>
      <c r="C89">
        <f>'Point List'!L118</f>
        <v>0</v>
      </c>
      <c r="D89" t="s">
        <v>220</v>
      </c>
      <c r="E89">
        <f>'Point List'!J118</f>
        <v>0</v>
      </c>
    </row>
    <row r="90" spans="1:5" x14ac:dyDescent="0.3">
      <c r="A90">
        <f>'Point List'!C119</f>
        <v>0</v>
      </c>
      <c r="C90">
        <f>'Point List'!L119</f>
        <v>0</v>
      </c>
      <c r="D90" t="s">
        <v>220</v>
      </c>
      <c r="E90">
        <f>'Point List'!J119</f>
        <v>0</v>
      </c>
    </row>
    <row r="91" spans="1:5" x14ac:dyDescent="0.3">
      <c r="A91">
        <f>'Point List'!C120</f>
        <v>0</v>
      </c>
      <c r="C91">
        <f>'Point List'!L120</f>
        <v>0</v>
      </c>
      <c r="D91" t="s">
        <v>220</v>
      </c>
      <c r="E91">
        <f>'Point List'!J120</f>
        <v>0</v>
      </c>
    </row>
    <row r="92" spans="1:5" x14ac:dyDescent="0.3">
      <c r="A92">
        <f>'Point List'!C121</f>
        <v>0</v>
      </c>
      <c r="C92">
        <f>'Point List'!L121</f>
        <v>0</v>
      </c>
      <c r="D92" t="s">
        <v>220</v>
      </c>
      <c r="E92">
        <f>'Point List'!J121</f>
        <v>0</v>
      </c>
    </row>
    <row r="93" spans="1:5" x14ac:dyDescent="0.3">
      <c r="A93">
        <f>'Point List'!C122</f>
        <v>0</v>
      </c>
      <c r="C93">
        <f>'Point List'!L122</f>
        <v>0</v>
      </c>
      <c r="D93" t="s">
        <v>220</v>
      </c>
      <c r="E93">
        <f>'Point List'!J122</f>
        <v>0</v>
      </c>
    </row>
    <row r="94" spans="1:5" x14ac:dyDescent="0.3">
      <c r="A94">
        <f>'Point List'!C123</f>
        <v>0</v>
      </c>
      <c r="C94">
        <f>'Point List'!L123</f>
        <v>0</v>
      </c>
      <c r="D94" t="s">
        <v>220</v>
      </c>
      <c r="E94">
        <f>'Point List'!J123</f>
        <v>0</v>
      </c>
    </row>
    <row r="95" spans="1:5" x14ac:dyDescent="0.3">
      <c r="A95">
        <f>'Point List'!C124</f>
        <v>0</v>
      </c>
      <c r="C95">
        <f>'Point List'!L124</f>
        <v>0</v>
      </c>
      <c r="D95" t="s">
        <v>220</v>
      </c>
      <c r="E95">
        <f>'Point List'!J124</f>
        <v>0</v>
      </c>
    </row>
    <row r="96" spans="1:5" x14ac:dyDescent="0.3">
      <c r="A96">
        <f>'Point List'!C125</f>
        <v>0</v>
      </c>
      <c r="C96">
        <f>'Point List'!L125</f>
        <v>0</v>
      </c>
      <c r="D96" t="s">
        <v>220</v>
      </c>
      <c r="E96">
        <f>'Point List'!J125</f>
        <v>0</v>
      </c>
    </row>
    <row r="97" spans="1:5" x14ac:dyDescent="0.3">
      <c r="A97">
        <f>'Point List'!C126</f>
        <v>0</v>
      </c>
      <c r="C97">
        <f>'Point List'!L126</f>
        <v>0</v>
      </c>
      <c r="D97" t="s">
        <v>220</v>
      </c>
      <c r="E97">
        <f>'Point List'!J126</f>
        <v>0</v>
      </c>
    </row>
    <row r="98" spans="1:5" x14ac:dyDescent="0.3">
      <c r="A98">
        <f>'Point List'!C127</f>
        <v>0</v>
      </c>
      <c r="C98">
        <f>'Point List'!L127</f>
        <v>0</v>
      </c>
      <c r="D98" t="s">
        <v>220</v>
      </c>
      <c r="E98">
        <f>'Point List'!J127</f>
        <v>0</v>
      </c>
    </row>
    <row r="99" spans="1:5" x14ac:dyDescent="0.3">
      <c r="A99">
        <f>'Point List'!C128</f>
        <v>0</v>
      </c>
      <c r="C99">
        <f>'Point List'!L128</f>
        <v>0</v>
      </c>
      <c r="D99" t="s">
        <v>220</v>
      </c>
      <c r="E99">
        <f>'Point List'!J128</f>
        <v>0</v>
      </c>
    </row>
    <row r="100" spans="1:5" x14ac:dyDescent="0.3">
      <c r="A100">
        <f>'Point List'!C129</f>
        <v>0</v>
      </c>
      <c r="C100">
        <f>'Point List'!L129</f>
        <v>0</v>
      </c>
      <c r="D100" t="s">
        <v>220</v>
      </c>
      <c r="E100">
        <f>'Point List'!J129</f>
        <v>0</v>
      </c>
    </row>
    <row r="101" spans="1:5" x14ac:dyDescent="0.3">
      <c r="A101">
        <f>'Point List'!C130</f>
        <v>0</v>
      </c>
      <c r="C101">
        <f>'Point List'!L130</f>
        <v>0</v>
      </c>
      <c r="D101" t="s">
        <v>220</v>
      </c>
      <c r="E101">
        <f>'Point List'!J130</f>
        <v>0</v>
      </c>
    </row>
    <row r="102" spans="1:5" x14ac:dyDescent="0.3">
      <c r="A102">
        <f>'Point List'!C131</f>
        <v>0</v>
      </c>
      <c r="C102">
        <f>'Point List'!L131</f>
        <v>0</v>
      </c>
      <c r="D102" t="s">
        <v>220</v>
      </c>
      <c r="E102">
        <f>'Point List'!J131</f>
        <v>0</v>
      </c>
    </row>
    <row r="103" spans="1:5" x14ac:dyDescent="0.3">
      <c r="A103">
        <f>'Point List'!C132</f>
        <v>0</v>
      </c>
      <c r="C103">
        <f>'Point List'!L132</f>
        <v>0</v>
      </c>
      <c r="D103" t="s">
        <v>220</v>
      </c>
      <c r="E103">
        <f>'Point List'!J132</f>
        <v>0</v>
      </c>
    </row>
    <row r="104" spans="1:5" x14ac:dyDescent="0.3">
      <c r="A104">
        <f>'Point List'!C133</f>
        <v>0</v>
      </c>
      <c r="C104">
        <f>'Point List'!L133</f>
        <v>0</v>
      </c>
      <c r="D104" t="s">
        <v>220</v>
      </c>
      <c r="E104">
        <f>'Point List'!J133</f>
        <v>0</v>
      </c>
    </row>
    <row r="105" spans="1:5" x14ac:dyDescent="0.3">
      <c r="A105">
        <f>'Point List'!C134</f>
        <v>0</v>
      </c>
      <c r="C105">
        <f>'Point List'!L134</f>
        <v>0</v>
      </c>
      <c r="D105" t="s">
        <v>220</v>
      </c>
      <c r="E105">
        <f>'Point List'!J134</f>
        <v>0</v>
      </c>
    </row>
    <row r="106" spans="1:5" x14ac:dyDescent="0.3">
      <c r="A106">
        <f>'Point List'!C135</f>
        <v>0</v>
      </c>
      <c r="C106">
        <f>'Point List'!L135</f>
        <v>0</v>
      </c>
      <c r="D106" t="s">
        <v>220</v>
      </c>
      <c r="E106">
        <f>'Point List'!J135</f>
        <v>0</v>
      </c>
    </row>
    <row r="107" spans="1:5" x14ac:dyDescent="0.3">
      <c r="A107">
        <f>'Point List'!C136</f>
        <v>0</v>
      </c>
      <c r="C107">
        <f>'Point List'!L136</f>
        <v>0</v>
      </c>
      <c r="D107" t="s">
        <v>220</v>
      </c>
      <c r="E107">
        <f>'Point List'!J136</f>
        <v>0</v>
      </c>
    </row>
    <row r="108" spans="1:5" x14ac:dyDescent="0.3">
      <c r="A108">
        <f>'Point List'!C137</f>
        <v>0</v>
      </c>
      <c r="C108">
        <f>'Point List'!L137</f>
        <v>0</v>
      </c>
      <c r="D108" t="s">
        <v>220</v>
      </c>
      <c r="E108">
        <f>'Point List'!J137</f>
        <v>0</v>
      </c>
    </row>
    <row r="109" spans="1:5" x14ac:dyDescent="0.3">
      <c r="A109">
        <f>'Point List'!C138</f>
        <v>0</v>
      </c>
      <c r="C109">
        <f>'Point List'!L138</f>
        <v>0</v>
      </c>
      <c r="D109" t="s">
        <v>220</v>
      </c>
      <c r="E109">
        <f>'Point List'!J138</f>
        <v>0</v>
      </c>
    </row>
    <row r="110" spans="1:5" x14ac:dyDescent="0.3">
      <c r="A110">
        <f>'Point List'!C139</f>
        <v>0</v>
      </c>
      <c r="C110">
        <f>'Point List'!L139</f>
        <v>0</v>
      </c>
      <c r="D110" t="s">
        <v>220</v>
      </c>
      <c r="E110">
        <f>'Point List'!J139</f>
        <v>0</v>
      </c>
    </row>
    <row r="111" spans="1:5" x14ac:dyDescent="0.3">
      <c r="A111">
        <f>'Point List'!C140</f>
        <v>0</v>
      </c>
      <c r="C111">
        <f>'Point List'!L140</f>
        <v>0</v>
      </c>
      <c r="D111" t="s">
        <v>220</v>
      </c>
      <c r="E111">
        <f>'Point List'!J140</f>
        <v>0</v>
      </c>
    </row>
    <row r="112" spans="1:5" x14ac:dyDescent="0.3">
      <c r="A112">
        <f>'Point List'!C141</f>
        <v>0</v>
      </c>
      <c r="C112">
        <f>'Point List'!L141</f>
        <v>0</v>
      </c>
      <c r="D112" t="s">
        <v>220</v>
      </c>
      <c r="E112">
        <f>'Point List'!J141</f>
        <v>0</v>
      </c>
    </row>
    <row r="113" spans="1:5" x14ac:dyDescent="0.3">
      <c r="A113">
        <f>'Point List'!C142</f>
        <v>0</v>
      </c>
      <c r="C113">
        <f>'Point List'!L142</f>
        <v>0</v>
      </c>
      <c r="D113" t="s">
        <v>220</v>
      </c>
      <c r="E113">
        <f>'Point List'!J142</f>
        <v>0</v>
      </c>
    </row>
    <row r="114" spans="1:5" x14ac:dyDescent="0.3">
      <c r="A114">
        <f>'Point List'!C143</f>
        <v>0</v>
      </c>
      <c r="C114">
        <f>'Point List'!L143</f>
        <v>0</v>
      </c>
      <c r="D114" t="s">
        <v>220</v>
      </c>
      <c r="E114">
        <f>'Point List'!J143</f>
        <v>0</v>
      </c>
    </row>
    <row r="115" spans="1:5" x14ac:dyDescent="0.3">
      <c r="A115">
        <f>'Point List'!C144</f>
        <v>0</v>
      </c>
      <c r="C115">
        <f>'Point List'!L144</f>
        <v>0</v>
      </c>
      <c r="D115" t="s">
        <v>220</v>
      </c>
      <c r="E115">
        <f>'Point List'!J144</f>
        <v>0</v>
      </c>
    </row>
    <row r="116" spans="1:5" x14ac:dyDescent="0.3">
      <c r="A116">
        <f>'Point List'!C145</f>
        <v>0</v>
      </c>
      <c r="C116">
        <f>'Point List'!L145</f>
        <v>0</v>
      </c>
      <c r="D116" t="s">
        <v>220</v>
      </c>
      <c r="E116">
        <f>'Point List'!J145</f>
        <v>0</v>
      </c>
    </row>
    <row r="117" spans="1:5" x14ac:dyDescent="0.3">
      <c r="A117">
        <f>'Point List'!C146</f>
        <v>0</v>
      </c>
      <c r="C117">
        <f>'Point List'!L146</f>
        <v>0</v>
      </c>
      <c r="D117" t="s">
        <v>220</v>
      </c>
      <c r="E117">
        <f>'Point List'!J146</f>
        <v>0</v>
      </c>
    </row>
    <row r="118" spans="1:5" x14ac:dyDescent="0.3">
      <c r="A118">
        <f>'Point List'!C147</f>
        <v>0</v>
      </c>
      <c r="C118">
        <f>'Point List'!L147</f>
        <v>0</v>
      </c>
      <c r="D118" t="s">
        <v>220</v>
      </c>
      <c r="E118">
        <f>'Point List'!J147</f>
        <v>0</v>
      </c>
    </row>
    <row r="119" spans="1:5" x14ac:dyDescent="0.3">
      <c r="A119">
        <f>'Point List'!C148</f>
        <v>0</v>
      </c>
      <c r="C119">
        <f>'Point List'!L148</f>
        <v>0</v>
      </c>
      <c r="D119" t="s">
        <v>220</v>
      </c>
      <c r="E119">
        <f>'Point List'!J148</f>
        <v>0</v>
      </c>
    </row>
    <row r="120" spans="1:5" x14ac:dyDescent="0.3">
      <c r="A120">
        <f>'Point List'!C149</f>
        <v>0</v>
      </c>
      <c r="C120">
        <f>'Point List'!L149</f>
        <v>0</v>
      </c>
      <c r="D120" t="s">
        <v>220</v>
      </c>
      <c r="E120">
        <f>'Point List'!J149</f>
        <v>0</v>
      </c>
    </row>
    <row r="121" spans="1:5" x14ac:dyDescent="0.3">
      <c r="A121">
        <f>'Point List'!C150</f>
        <v>0</v>
      </c>
      <c r="C121">
        <f>'Point List'!L150</f>
        <v>0</v>
      </c>
      <c r="D121" t="s">
        <v>220</v>
      </c>
      <c r="E121">
        <f>'Point List'!J150</f>
        <v>0</v>
      </c>
    </row>
    <row r="122" spans="1:5" x14ac:dyDescent="0.3">
      <c r="A122">
        <f>'Point List'!C151</f>
        <v>0</v>
      </c>
      <c r="C122">
        <f>'Point List'!L151</f>
        <v>0</v>
      </c>
      <c r="D122" t="s">
        <v>220</v>
      </c>
      <c r="E122">
        <f>'Point List'!J151</f>
        <v>0</v>
      </c>
    </row>
    <row r="123" spans="1:5" x14ac:dyDescent="0.3">
      <c r="A123">
        <f>'Point List'!C152</f>
        <v>0</v>
      </c>
      <c r="C123">
        <f>'Point List'!L152</f>
        <v>0</v>
      </c>
      <c r="D123" t="s">
        <v>220</v>
      </c>
      <c r="E123">
        <f>'Point List'!J152</f>
        <v>0</v>
      </c>
    </row>
    <row r="124" spans="1:5" x14ac:dyDescent="0.3">
      <c r="A124">
        <f>'Point List'!C153</f>
        <v>0</v>
      </c>
      <c r="C124">
        <f>'Point List'!L153</f>
        <v>0</v>
      </c>
      <c r="D124" t="s">
        <v>220</v>
      </c>
      <c r="E124">
        <f>'Point List'!J153</f>
        <v>0</v>
      </c>
    </row>
    <row r="125" spans="1:5" x14ac:dyDescent="0.3">
      <c r="A125">
        <f>'Point List'!C154</f>
        <v>0</v>
      </c>
      <c r="C125">
        <f>'Point List'!L154</f>
        <v>0</v>
      </c>
      <c r="D125" t="s">
        <v>220</v>
      </c>
      <c r="E125">
        <f>'Point List'!J154</f>
        <v>0</v>
      </c>
    </row>
    <row r="126" spans="1:5" x14ac:dyDescent="0.3">
      <c r="A126">
        <f>'Point List'!C155</f>
        <v>0</v>
      </c>
      <c r="C126">
        <f>'Point List'!L155</f>
        <v>0</v>
      </c>
      <c r="D126" t="s">
        <v>220</v>
      </c>
      <c r="E126">
        <f>'Point List'!J155</f>
        <v>0</v>
      </c>
    </row>
    <row r="127" spans="1:5" x14ac:dyDescent="0.3">
      <c r="A127">
        <f>'Point List'!C156</f>
        <v>0</v>
      </c>
      <c r="C127">
        <f>'Point List'!L156</f>
        <v>0</v>
      </c>
      <c r="D127" t="s">
        <v>220</v>
      </c>
      <c r="E127">
        <f>'Point List'!J156</f>
        <v>0</v>
      </c>
    </row>
    <row r="128" spans="1:5" x14ac:dyDescent="0.3">
      <c r="A128">
        <f>'Point List'!C157</f>
        <v>0</v>
      </c>
      <c r="C128">
        <f>'Point List'!L157</f>
        <v>0</v>
      </c>
      <c r="D128" t="s">
        <v>220</v>
      </c>
      <c r="E128">
        <f>'Point List'!J157</f>
        <v>0</v>
      </c>
    </row>
    <row r="129" spans="1:5" x14ac:dyDescent="0.3">
      <c r="A129">
        <f>'Point List'!C158</f>
        <v>0</v>
      </c>
      <c r="C129">
        <f>'Point List'!L158</f>
        <v>0</v>
      </c>
      <c r="D129" t="s">
        <v>220</v>
      </c>
      <c r="E129">
        <f>'Point List'!J158</f>
        <v>0</v>
      </c>
    </row>
    <row r="130" spans="1:5" x14ac:dyDescent="0.3">
      <c r="A130">
        <f>'Point List'!C159</f>
        <v>0</v>
      </c>
      <c r="C130">
        <f>'Point List'!L159</f>
        <v>0</v>
      </c>
      <c r="D130" t="s">
        <v>220</v>
      </c>
      <c r="E130">
        <f>'Point List'!J159</f>
        <v>0</v>
      </c>
    </row>
    <row r="131" spans="1:5" x14ac:dyDescent="0.3">
      <c r="A131">
        <f>'Point List'!C160</f>
        <v>0</v>
      </c>
      <c r="C131">
        <f>'Point List'!L160</f>
        <v>0</v>
      </c>
      <c r="D131" t="s">
        <v>220</v>
      </c>
      <c r="E131">
        <f>'Point List'!J160</f>
        <v>0</v>
      </c>
    </row>
    <row r="132" spans="1:5" x14ac:dyDescent="0.3">
      <c r="A132">
        <f>'Point List'!C161</f>
        <v>0</v>
      </c>
      <c r="C132">
        <f>'Point List'!L161</f>
        <v>0</v>
      </c>
      <c r="D132" t="s">
        <v>220</v>
      </c>
      <c r="E132">
        <f>'Point List'!J161</f>
        <v>0</v>
      </c>
    </row>
    <row r="133" spans="1:5" x14ac:dyDescent="0.3">
      <c r="A133">
        <f>'Point List'!C162</f>
        <v>0</v>
      </c>
      <c r="C133">
        <f>'Point List'!L162</f>
        <v>0</v>
      </c>
      <c r="D133" t="s">
        <v>220</v>
      </c>
      <c r="E133">
        <f>'Point List'!J162</f>
        <v>0</v>
      </c>
    </row>
    <row r="134" spans="1:5" x14ac:dyDescent="0.3">
      <c r="A134">
        <f>'Point List'!C163</f>
        <v>0</v>
      </c>
      <c r="C134">
        <f>'Point List'!L163</f>
        <v>0</v>
      </c>
      <c r="D134" t="s">
        <v>220</v>
      </c>
      <c r="E134">
        <f>'Point List'!J163</f>
        <v>0</v>
      </c>
    </row>
    <row r="135" spans="1:5" x14ac:dyDescent="0.3">
      <c r="A135">
        <f>'Point List'!C164</f>
        <v>0</v>
      </c>
      <c r="C135">
        <f>'Point List'!L164</f>
        <v>0</v>
      </c>
      <c r="D135" t="s">
        <v>220</v>
      </c>
      <c r="E135">
        <f>'Point List'!J164</f>
        <v>0</v>
      </c>
    </row>
    <row r="136" spans="1:5" x14ac:dyDescent="0.3">
      <c r="A136">
        <f>'Point List'!C165</f>
        <v>0</v>
      </c>
      <c r="C136">
        <f>'Point List'!L165</f>
        <v>0</v>
      </c>
      <c r="D136" t="s">
        <v>220</v>
      </c>
      <c r="E136">
        <f>'Point List'!J165</f>
        <v>0</v>
      </c>
    </row>
    <row r="137" spans="1:5" x14ac:dyDescent="0.3">
      <c r="A137">
        <f>'Point List'!C166</f>
        <v>0</v>
      </c>
      <c r="C137">
        <f>'Point List'!L166</f>
        <v>0</v>
      </c>
      <c r="D137" t="s">
        <v>220</v>
      </c>
      <c r="E137">
        <f>'Point List'!J166</f>
        <v>0</v>
      </c>
    </row>
    <row r="138" spans="1:5" x14ac:dyDescent="0.3">
      <c r="A138">
        <f>'Point List'!C167</f>
        <v>0</v>
      </c>
      <c r="C138">
        <f>'Point List'!L167</f>
        <v>0</v>
      </c>
      <c r="D138" t="s">
        <v>220</v>
      </c>
      <c r="E138">
        <f>'Point List'!J167</f>
        <v>0</v>
      </c>
    </row>
    <row r="139" spans="1:5" x14ac:dyDescent="0.3">
      <c r="A139">
        <f>'Point List'!C168</f>
        <v>0</v>
      </c>
      <c r="C139">
        <f>'Point List'!L168</f>
        <v>0</v>
      </c>
      <c r="D139" t="s">
        <v>220</v>
      </c>
      <c r="E139">
        <f>'Point List'!J168</f>
        <v>0</v>
      </c>
    </row>
    <row r="140" spans="1:5" x14ac:dyDescent="0.3">
      <c r="A140">
        <f>'Point List'!C169</f>
        <v>0</v>
      </c>
      <c r="C140">
        <f>'Point List'!L169</f>
        <v>0</v>
      </c>
      <c r="D140" t="s">
        <v>220</v>
      </c>
      <c r="E140">
        <f>'Point List'!J169</f>
        <v>0</v>
      </c>
    </row>
    <row r="141" spans="1:5" x14ac:dyDescent="0.3">
      <c r="A141">
        <f>'Point List'!C170</f>
        <v>0</v>
      </c>
      <c r="C141">
        <f>'Point List'!L170</f>
        <v>0</v>
      </c>
      <c r="D141" t="s">
        <v>220</v>
      </c>
      <c r="E141">
        <f>'Point List'!J170</f>
        <v>0</v>
      </c>
    </row>
    <row r="142" spans="1:5" x14ac:dyDescent="0.3">
      <c r="A142">
        <f>'Point List'!C171</f>
        <v>0</v>
      </c>
      <c r="C142">
        <f>'Point List'!L171</f>
        <v>0</v>
      </c>
      <c r="D142" t="s">
        <v>220</v>
      </c>
      <c r="E142">
        <f>'Point List'!J171</f>
        <v>0</v>
      </c>
    </row>
    <row r="143" spans="1:5" x14ac:dyDescent="0.3">
      <c r="A143">
        <f>'Point List'!C172</f>
        <v>0</v>
      </c>
      <c r="C143">
        <f>'Point List'!L172</f>
        <v>0</v>
      </c>
      <c r="D143" t="s">
        <v>220</v>
      </c>
      <c r="E143">
        <f>'Point List'!J172</f>
        <v>0</v>
      </c>
    </row>
    <row r="144" spans="1:5" x14ac:dyDescent="0.3">
      <c r="A144">
        <f>'Point List'!C173</f>
        <v>0</v>
      </c>
      <c r="C144">
        <f>'Point List'!L173</f>
        <v>0</v>
      </c>
      <c r="D144" t="s">
        <v>220</v>
      </c>
      <c r="E144">
        <f>'Point List'!J173</f>
        <v>0</v>
      </c>
    </row>
    <row r="145" spans="1:5" x14ac:dyDescent="0.3">
      <c r="A145">
        <f>'Point List'!C174</f>
        <v>0</v>
      </c>
      <c r="C145">
        <f>'Point List'!L174</f>
        <v>0</v>
      </c>
      <c r="D145" t="s">
        <v>220</v>
      </c>
      <c r="E145">
        <f>'Point List'!J174</f>
        <v>0</v>
      </c>
    </row>
    <row r="146" spans="1:5" x14ac:dyDescent="0.3">
      <c r="A146">
        <f>'Point List'!C175</f>
        <v>0</v>
      </c>
      <c r="C146">
        <f>'Point List'!L175</f>
        <v>0</v>
      </c>
      <c r="D146" t="s">
        <v>220</v>
      </c>
      <c r="E146">
        <f>'Point List'!J175</f>
        <v>0</v>
      </c>
    </row>
    <row r="147" spans="1:5" x14ac:dyDescent="0.3">
      <c r="A147">
        <f>'Point List'!C176</f>
        <v>0</v>
      </c>
      <c r="C147">
        <f>'Point List'!L176</f>
        <v>0</v>
      </c>
      <c r="D147" t="s">
        <v>220</v>
      </c>
      <c r="E147">
        <f>'Point List'!J176</f>
        <v>0</v>
      </c>
    </row>
    <row r="148" spans="1:5" x14ac:dyDescent="0.3">
      <c r="A148">
        <f>'Point List'!C177</f>
        <v>0</v>
      </c>
      <c r="C148">
        <f>'Point List'!L177</f>
        <v>0</v>
      </c>
      <c r="D148" t="s">
        <v>220</v>
      </c>
      <c r="E148">
        <f>'Point List'!J177</f>
        <v>0</v>
      </c>
    </row>
    <row r="149" spans="1:5" x14ac:dyDescent="0.3">
      <c r="A149">
        <f>'Point List'!C178</f>
        <v>0</v>
      </c>
      <c r="C149">
        <f>'Point List'!L178</f>
        <v>0</v>
      </c>
      <c r="D149" t="s">
        <v>220</v>
      </c>
      <c r="E149">
        <f>'Point List'!J178</f>
        <v>0</v>
      </c>
    </row>
    <row r="150" spans="1:5" x14ac:dyDescent="0.3">
      <c r="A150">
        <f>'Point List'!C179</f>
        <v>0</v>
      </c>
      <c r="C150">
        <f>'Point List'!L179</f>
        <v>0</v>
      </c>
      <c r="D150" t="s">
        <v>220</v>
      </c>
      <c r="E150">
        <f>'Point List'!J179</f>
        <v>0</v>
      </c>
    </row>
    <row r="151" spans="1:5" x14ac:dyDescent="0.3">
      <c r="A151">
        <f>'Point List'!C180</f>
        <v>0</v>
      </c>
      <c r="C151">
        <f>'Point List'!L180</f>
        <v>0</v>
      </c>
      <c r="D151" t="s">
        <v>220</v>
      </c>
      <c r="E151">
        <f>'Point List'!J180</f>
        <v>0</v>
      </c>
    </row>
    <row r="152" spans="1:5" x14ac:dyDescent="0.3">
      <c r="A152">
        <f>'Point List'!C181</f>
        <v>0</v>
      </c>
      <c r="C152">
        <f>'Point List'!L181</f>
        <v>0</v>
      </c>
      <c r="D152" t="s">
        <v>220</v>
      </c>
      <c r="E152">
        <f>'Point List'!J181</f>
        <v>0</v>
      </c>
    </row>
    <row r="153" spans="1:5" x14ac:dyDescent="0.3">
      <c r="A153">
        <f>'Point List'!C182</f>
        <v>0</v>
      </c>
      <c r="C153">
        <f>'Point List'!L182</f>
        <v>0</v>
      </c>
      <c r="D153" t="s">
        <v>220</v>
      </c>
      <c r="E153">
        <f>'Point List'!J182</f>
        <v>0</v>
      </c>
    </row>
    <row r="154" spans="1:5" x14ac:dyDescent="0.3">
      <c r="A154">
        <f>'Point List'!C183</f>
        <v>0</v>
      </c>
      <c r="C154">
        <f>'Point List'!L183</f>
        <v>0</v>
      </c>
      <c r="D154" t="s">
        <v>220</v>
      </c>
      <c r="E154">
        <f>'Point List'!J183</f>
        <v>0</v>
      </c>
    </row>
    <row r="155" spans="1:5" x14ac:dyDescent="0.3">
      <c r="A155">
        <f>'Point List'!C184</f>
        <v>0</v>
      </c>
      <c r="C155">
        <f>'Point List'!L184</f>
        <v>0</v>
      </c>
      <c r="D155" t="s">
        <v>220</v>
      </c>
      <c r="E155">
        <f>'Point List'!J184</f>
        <v>0</v>
      </c>
    </row>
    <row r="156" spans="1:5" x14ac:dyDescent="0.3">
      <c r="A156">
        <f>'Point List'!C185</f>
        <v>0</v>
      </c>
      <c r="C156">
        <f>'Point List'!L185</f>
        <v>0</v>
      </c>
      <c r="D156" t="s">
        <v>220</v>
      </c>
      <c r="E156">
        <f>'Point List'!J185</f>
        <v>0</v>
      </c>
    </row>
    <row r="157" spans="1:5" x14ac:dyDescent="0.3">
      <c r="A157">
        <f>'Point List'!C186</f>
        <v>0</v>
      </c>
      <c r="C157">
        <f>'Point List'!L186</f>
        <v>0</v>
      </c>
      <c r="D157" t="s">
        <v>220</v>
      </c>
      <c r="E157">
        <f>'Point List'!J186</f>
        <v>0</v>
      </c>
    </row>
    <row r="158" spans="1:5" x14ac:dyDescent="0.3">
      <c r="A158">
        <f>'Point List'!C187</f>
        <v>0</v>
      </c>
      <c r="C158">
        <f>'Point List'!L187</f>
        <v>0</v>
      </c>
      <c r="D158" t="s">
        <v>220</v>
      </c>
      <c r="E158">
        <f>'Point List'!J187</f>
        <v>0</v>
      </c>
    </row>
    <row r="159" spans="1:5" x14ac:dyDescent="0.3">
      <c r="A159">
        <f>'Point List'!C188</f>
        <v>0</v>
      </c>
      <c r="C159">
        <f>'Point List'!L188</f>
        <v>0</v>
      </c>
      <c r="D159" t="s">
        <v>220</v>
      </c>
      <c r="E159">
        <f>'Point List'!J188</f>
        <v>0</v>
      </c>
    </row>
    <row r="160" spans="1:5" x14ac:dyDescent="0.3">
      <c r="A160">
        <f>'Point List'!C189</f>
        <v>0</v>
      </c>
      <c r="C160">
        <f>'Point List'!L189</f>
        <v>0</v>
      </c>
      <c r="D160" t="s">
        <v>220</v>
      </c>
      <c r="E160">
        <f>'Point List'!J189</f>
        <v>0</v>
      </c>
    </row>
    <row r="161" spans="1:5" x14ac:dyDescent="0.3">
      <c r="A161">
        <f>'Point List'!C190</f>
        <v>0</v>
      </c>
      <c r="C161">
        <f>'Point List'!L190</f>
        <v>0</v>
      </c>
      <c r="D161" t="s">
        <v>220</v>
      </c>
      <c r="E161">
        <f>'Point List'!J190</f>
        <v>0</v>
      </c>
    </row>
    <row r="162" spans="1:5" x14ac:dyDescent="0.3">
      <c r="A162">
        <f>'Point List'!C191</f>
        <v>0</v>
      </c>
      <c r="C162">
        <f>'Point List'!L191</f>
        <v>0</v>
      </c>
      <c r="D162" t="s">
        <v>220</v>
      </c>
      <c r="E162">
        <f>'Point List'!J191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Point List</vt:lpstr>
      <vt:lpstr>Symbol Table</vt:lpstr>
      <vt:lpstr>Mapping Sheet</vt:lpstr>
      <vt:lpstr>SymbolTableCSV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2026-10-11T23:24:15Z</dcterms:modified>
</cp:coreProperties>
</file>