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804" documentId="11_796C421E84FB48855BB0FC3EBB1F0B72633B0612" xr6:coauthVersionLast="47" xr6:coauthVersionMax="47" xr10:uidLastSave="{072B345C-D261-42BD-86B7-64DD569AFA22}"/>
  <bookViews>
    <workbookView xWindow="-108" yWindow="-108" windowWidth="23256" windowHeight="12456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J105" i="1" l="1"/>
  <c r="K5" i="4"/>
  <c r="K3" i="4"/>
  <c r="K2" i="4"/>
  <c r="K1" i="4"/>
  <c r="N105" i="1" l="1"/>
  <c r="H105" i="1"/>
  <c r="E108" i="3"/>
  <c r="I105" i="1"/>
  <c r="E162" i="4"/>
  <c r="C162" i="4"/>
  <c r="A162" i="4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76" i="4" l="1"/>
  <c r="K76" i="4" s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E20" i="4"/>
  <c r="K20" i="4" s="1"/>
  <c r="J20" i="1"/>
  <c r="N20" i="1"/>
  <c r="I21" i="1"/>
  <c r="H20" i="1"/>
  <c r="B21" i="2"/>
  <c r="D20" i="2"/>
  <c r="C20" i="2"/>
  <c r="T48" i="1"/>
  <c r="E21" i="4" l="1"/>
  <c r="K21" i="4" s="1"/>
  <c r="E23" i="3"/>
  <c r="K23" i="3" s="1"/>
  <c r="I22" i="1"/>
  <c r="N21" i="1"/>
  <c r="H21" i="1"/>
  <c r="J21" i="1"/>
  <c r="B22" i="2"/>
  <c r="D21" i="2"/>
  <c r="C21" i="2"/>
  <c r="E22" i="4" l="1"/>
  <c r="K22" i="4" s="1"/>
  <c r="E24" i="3"/>
  <c r="K24" i="3" s="1"/>
  <c r="H22" i="1"/>
  <c r="J22" i="1"/>
  <c r="N22" i="1"/>
  <c r="I33" i="1"/>
  <c r="B23" i="2"/>
  <c r="D22" i="2"/>
  <c r="C22" i="2"/>
  <c r="E25" i="3" l="1"/>
  <c r="K25" i="3" s="1"/>
  <c r="E23" i="4"/>
  <c r="K23" i="4" s="1"/>
  <c r="N33" i="1"/>
  <c r="J33" i="1"/>
  <c r="I34" i="1"/>
  <c r="H33" i="1"/>
  <c r="B24" i="2"/>
  <c r="D23" i="2"/>
  <c r="C23" i="2"/>
  <c r="E36" i="3" l="1"/>
  <c r="K36" i="3" s="1"/>
  <c r="E33" i="4"/>
  <c r="K33" i="4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E34" i="4"/>
  <c r="K34" i="4" s="1"/>
  <c r="I40" i="1"/>
  <c r="H39" i="1"/>
  <c r="J39" i="1"/>
  <c r="N39" i="1"/>
  <c r="B30" i="2"/>
  <c r="D29" i="2"/>
  <c r="C29" i="2"/>
  <c r="E35" i="4" l="1"/>
  <c r="K35" i="4" s="1"/>
  <c r="E42" i="3"/>
  <c r="K42" i="3" s="1"/>
  <c r="H40" i="1"/>
  <c r="J40" i="1"/>
  <c r="N40" i="1"/>
  <c r="I41" i="1"/>
  <c r="B31" i="2"/>
  <c r="D30" i="2"/>
  <c r="C30" i="2"/>
  <c r="E36" i="4" l="1"/>
  <c r="K36" i="4" s="1"/>
  <c r="E43" i="3"/>
  <c r="K43" i="3" s="1"/>
  <c r="N41" i="1"/>
  <c r="J41" i="1"/>
  <c r="I42" i="1"/>
  <c r="H41" i="1"/>
  <c r="B32" i="2"/>
  <c r="D31" i="2"/>
  <c r="C31" i="2"/>
  <c r="E44" i="3" l="1"/>
  <c r="K44" i="3" s="1"/>
  <c r="E37" i="4"/>
  <c r="K37" i="4" s="1"/>
  <c r="I44" i="1"/>
  <c r="H42" i="1"/>
  <c r="J42" i="1"/>
  <c r="N42" i="1"/>
  <c r="B33" i="2"/>
  <c r="D32" i="2"/>
  <c r="C32" i="2"/>
  <c r="E38" i="4" l="1"/>
  <c r="K38" i="4" s="1"/>
  <c r="E45" i="3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E43" i="4"/>
  <c r="K43" i="4" s="1"/>
  <c r="H52" i="1"/>
  <c r="I53" i="1"/>
  <c r="J52" i="1"/>
  <c r="N52" i="1"/>
  <c r="B36" i="2"/>
  <c r="D35" i="2"/>
  <c r="C35" i="2"/>
  <c r="E44" i="4" l="1"/>
  <c r="K44" i="4" s="1"/>
  <c r="E55" i="3"/>
  <c r="K55" i="3" s="1"/>
  <c r="J53" i="1"/>
  <c r="N53" i="1"/>
  <c r="I54" i="1"/>
  <c r="H53" i="1"/>
  <c r="B37" i="2"/>
  <c r="D36" i="2"/>
  <c r="C36" i="2"/>
  <c r="E45" i="4" l="1"/>
  <c r="K45" i="4" s="1"/>
  <c r="E56" i="3"/>
  <c r="K56" i="3" s="1"/>
  <c r="I55" i="1"/>
  <c r="N54" i="1"/>
  <c r="H54" i="1"/>
  <c r="J54" i="1"/>
  <c r="B38" i="2"/>
  <c r="D37" i="2"/>
  <c r="C37" i="2"/>
  <c r="E57" i="3" l="1"/>
  <c r="K57" i="3" s="1"/>
  <c r="E46" i="4"/>
  <c r="K46" i="4" s="1"/>
  <c r="H55" i="1"/>
  <c r="J55" i="1"/>
  <c r="N55" i="1"/>
  <c r="I56" i="1"/>
  <c r="B39" i="2"/>
  <c r="D38" i="2"/>
  <c r="C38" i="2"/>
  <c r="E47" i="4" l="1"/>
  <c r="K47" i="4" s="1"/>
  <c r="E58" i="3"/>
  <c r="K58" i="3" s="1"/>
  <c r="N56" i="1"/>
  <c r="I57" i="1"/>
  <c r="J56" i="1"/>
  <c r="H56" i="1"/>
  <c r="B40" i="2"/>
  <c r="D39" i="2"/>
  <c r="C39" i="2"/>
  <c r="E48" i="4" l="1"/>
  <c r="K48" i="4" s="1"/>
  <c r="E59" i="3"/>
  <c r="K59" i="3" s="1"/>
  <c r="I58" i="1"/>
  <c r="H57" i="1"/>
  <c r="J57" i="1"/>
  <c r="N57" i="1"/>
  <c r="B41" i="2"/>
  <c r="D40" i="2"/>
  <c r="C40" i="2"/>
  <c r="E60" i="3" l="1"/>
  <c r="K60" i="3" s="1"/>
  <c r="E49" i="4"/>
  <c r="K49" i="4" s="1"/>
  <c r="J58" i="1"/>
  <c r="H58" i="1"/>
  <c r="N58" i="1"/>
  <c r="I59" i="1"/>
  <c r="B42" i="2"/>
  <c r="D41" i="2"/>
  <c r="C41" i="2"/>
  <c r="E50" i="4" l="1"/>
  <c r="K50" i="4" s="1"/>
  <c r="E61" i="3"/>
  <c r="K61" i="3" s="1"/>
  <c r="I60" i="1"/>
  <c r="N59" i="1"/>
  <c r="H59" i="1"/>
  <c r="J59" i="1"/>
  <c r="B43" i="2"/>
  <c r="D42" i="2"/>
  <c r="C42" i="2"/>
  <c r="E62" i="3" l="1"/>
  <c r="K62" i="3" s="1"/>
  <c r="E51" i="4"/>
  <c r="K51" i="4" s="1"/>
  <c r="H60" i="1"/>
  <c r="J60" i="1"/>
  <c r="N60" i="1"/>
  <c r="I61" i="1"/>
  <c r="B44" i="2"/>
  <c r="D43" i="2"/>
  <c r="C43" i="2"/>
  <c r="E52" i="4" l="1"/>
  <c r="K52" i="4" s="1"/>
  <c r="E63" i="3"/>
  <c r="K63" i="3" s="1"/>
  <c r="J61" i="1"/>
  <c r="N61" i="1"/>
  <c r="I62" i="1"/>
  <c r="H61" i="1"/>
  <c r="B45" i="2"/>
  <c r="D44" i="2"/>
  <c r="C44" i="2"/>
  <c r="E53" i="4" l="1"/>
  <c r="K53" i="4" s="1"/>
  <c r="E64" i="3"/>
  <c r="K64" i="3" s="1"/>
  <c r="I63" i="1"/>
  <c r="H62" i="1"/>
  <c r="J62" i="1"/>
  <c r="N62" i="1"/>
  <c r="B46" i="2"/>
  <c r="D45" i="2"/>
  <c r="C45" i="2"/>
  <c r="E54" i="4" l="1"/>
  <c r="K54" i="4" s="1"/>
  <c r="E65" i="3"/>
  <c r="K65" i="3" s="1"/>
  <c r="H63" i="1"/>
  <c r="J63" i="1"/>
  <c r="I64" i="1"/>
  <c r="N63" i="1"/>
  <c r="B47" i="2"/>
  <c r="D46" i="2"/>
  <c r="C46" i="2"/>
  <c r="E55" i="4" l="1"/>
  <c r="K55" i="4" s="1"/>
  <c r="E66" i="3"/>
  <c r="K66" i="3" s="1"/>
  <c r="N64" i="1"/>
  <c r="J64" i="1"/>
  <c r="I65" i="1"/>
  <c r="H64" i="1"/>
  <c r="B48" i="2"/>
  <c r="D47" i="2"/>
  <c r="C47" i="2"/>
  <c r="E56" i="4" l="1"/>
  <c r="K56" i="4" s="1"/>
  <c r="E67" i="3"/>
  <c r="K67" i="3" s="1"/>
  <c r="I66" i="1"/>
  <c r="H65" i="1"/>
  <c r="J65" i="1"/>
  <c r="N65" i="1"/>
  <c r="B49" i="2"/>
  <c r="D48" i="2"/>
  <c r="C48" i="2"/>
  <c r="E68" i="3" l="1"/>
  <c r="K68" i="3" s="1"/>
  <c r="E57" i="4"/>
  <c r="K57" i="4" s="1"/>
  <c r="J66" i="1"/>
  <c r="H66" i="1"/>
  <c r="N66" i="1"/>
  <c r="I67" i="1"/>
  <c r="B50" i="2"/>
  <c r="D49" i="2"/>
  <c r="C49" i="2"/>
  <c r="E58" i="4" l="1"/>
  <c r="K58" i="4" s="1"/>
  <c r="E69" i="3"/>
  <c r="K69" i="3" s="1"/>
  <c r="I68" i="1"/>
  <c r="J67" i="1"/>
  <c r="N67" i="1"/>
  <c r="H67" i="1"/>
  <c r="B51" i="2"/>
  <c r="D50" i="2"/>
  <c r="C50" i="2"/>
  <c r="E70" i="3" l="1"/>
  <c r="K70" i="3" s="1"/>
  <c r="E59" i="4"/>
  <c r="K59" i="4" s="1"/>
  <c r="H68" i="1"/>
  <c r="J68" i="1"/>
  <c r="N68" i="1"/>
  <c r="I69" i="1"/>
  <c r="B52" i="2"/>
  <c r="D51" i="2"/>
  <c r="C51" i="2"/>
  <c r="E60" i="4" l="1"/>
  <c r="K60" i="4" s="1"/>
  <c r="E71" i="3"/>
  <c r="K71" i="3" s="1"/>
  <c r="J69" i="1"/>
  <c r="N69" i="1"/>
  <c r="I70" i="1"/>
  <c r="H69" i="1"/>
  <c r="B53" i="2"/>
  <c r="D52" i="2"/>
  <c r="C52" i="2"/>
  <c r="E61" i="4" l="1"/>
  <c r="K61" i="4" s="1"/>
  <c r="E72" i="3"/>
  <c r="K72" i="3" s="1"/>
  <c r="I71" i="1"/>
  <c r="N70" i="1"/>
  <c r="H70" i="1"/>
  <c r="J70" i="1"/>
  <c r="B54" i="2"/>
  <c r="D53" i="2"/>
  <c r="C53" i="2"/>
  <c r="E73" i="3" l="1"/>
  <c r="K73" i="3" s="1"/>
  <c r="E62" i="4"/>
  <c r="K62" i="4" s="1"/>
  <c r="H71" i="1"/>
  <c r="J71" i="1"/>
  <c r="N71" i="1"/>
  <c r="I72" i="1"/>
  <c r="B55" i="2"/>
  <c r="D54" i="2"/>
  <c r="C54" i="2"/>
  <c r="E63" i="4" l="1"/>
  <c r="K63" i="4" s="1"/>
  <c r="E74" i="3"/>
  <c r="K74" i="3" s="1"/>
  <c r="N72" i="1"/>
  <c r="J72" i="1"/>
  <c r="I73" i="1"/>
  <c r="H72" i="1"/>
  <c r="B56" i="2"/>
  <c r="D55" i="2"/>
  <c r="C55" i="2"/>
  <c r="E64" i="4" l="1"/>
  <c r="K64" i="4" s="1"/>
  <c r="E75" i="3"/>
  <c r="K75" i="3" s="1"/>
  <c r="I74" i="1"/>
  <c r="H73" i="1"/>
  <c r="J73" i="1"/>
  <c r="N73" i="1"/>
  <c r="B57" i="2"/>
  <c r="D56" i="2"/>
  <c r="C56" i="2"/>
  <c r="E76" i="3" l="1"/>
  <c r="K76" i="3" s="1"/>
  <c r="E65" i="4"/>
  <c r="K65" i="4" s="1"/>
  <c r="H74" i="1"/>
  <c r="J74" i="1"/>
  <c r="N74" i="1"/>
  <c r="I75" i="1"/>
  <c r="B58" i="2"/>
  <c r="D57" i="2"/>
  <c r="C57" i="2"/>
  <c r="E66" i="4" l="1"/>
  <c r="K66" i="4" s="1"/>
  <c r="E77" i="3"/>
  <c r="K77" i="3" s="1"/>
  <c r="I76" i="1"/>
  <c r="J75" i="1"/>
  <c r="H75" i="1"/>
  <c r="N75" i="1"/>
  <c r="B59" i="2"/>
  <c r="C58" i="2"/>
  <c r="D58" i="2"/>
  <c r="E78" i="3" l="1"/>
  <c r="K78" i="3" s="1"/>
  <c r="E67" i="4"/>
  <c r="K67" i="4" s="1"/>
  <c r="H76" i="1"/>
  <c r="J76" i="1"/>
  <c r="N76" i="1"/>
  <c r="I98" i="1"/>
  <c r="B60" i="2"/>
  <c r="D59" i="2"/>
  <c r="C59" i="2"/>
  <c r="E68" i="4" l="1"/>
  <c r="K68" i="4" s="1"/>
  <c r="E79" i="3"/>
  <c r="K79" i="3" s="1"/>
  <c r="J98" i="1"/>
  <c r="N98" i="1"/>
  <c r="I99" i="1"/>
  <c r="H98" i="1"/>
  <c r="B61" i="2"/>
  <c r="D60" i="2"/>
  <c r="C60" i="2"/>
  <c r="E101" i="3" l="1"/>
  <c r="K101" i="3" s="1"/>
  <c r="E69" i="4"/>
  <c r="K69" i="4" s="1"/>
  <c r="H99" i="1"/>
  <c r="I100" i="1"/>
  <c r="I101" i="1" s="1"/>
  <c r="J99" i="1"/>
  <c r="B62" i="2"/>
  <c r="D61" i="2"/>
  <c r="C61" i="2"/>
  <c r="E102" i="3" l="1"/>
  <c r="K102" i="3" s="1"/>
  <c r="E70" i="4"/>
  <c r="K70" i="4" s="1"/>
  <c r="I102" i="1"/>
  <c r="N101" i="1"/>
  <c r="H101" i="1"/>
  <c r="J101" i="1"/>
  <c r="N100" i="1"/>
  <c r="J100" i="1"/>
  <c r="H100" i="1"/>
  <c r="B63" i="2"/>
  <c r="D62" i="2"/>
  <c r="C62" i="2"/>
  <c r="E71" i="4" l="1"/>
  <c r="K71" i="4" s="1"/>
  <c r="E103" i="3"/>
  <c r="K103" i="3" s="1"/>
  <c r="E72" i="4"/>
  <c r="K72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73" i="4"/>
  <c r="K73" i="4" s="1"/>
  <c r="I104" i="1"/>
  <c r="I43" i="1" s="1"/>
  <c r="I49" i="1" s="1"/>
  <c r="N103" i="1"/>
  <c r="H103" i="1"/>
  <c r="J103" i="1"/>
  <c r="B65" i="2"/>
  <c r="D64" i="2"/>
  <c r="C64" i="2"/>
  <c r="E74" i="4" l="1"/>
  <c r="K74" i="4" s="1"/>
  <c r="E106" i="3"/>
  <c r="K106" i="3" s="1"/>
  <c r="N104" i="1"/>
  <c r="H104" i="1"/>
  <c r="J104" i="1"/>
  <c r="B66" i="2"/>
  <c r="D65" i="2"/>
  <c r="C65" i="2"/>
  <c r="E107" i="3" l="1"/>
  <c r="K107" i="3" s="1"/>
  <c r="E75" i="4"/>
  <c r="K75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1" i="4"/>
  <c r="K41" i="4" s="1"/>
  <c r="E46" i="3"/>
  <c r="K46" i="3" s="1"/>
  <c r="E42" i="4"/>
  <c r="K42" i="4" s="1"/>
  <c r="E53" i="3"/>
  <c r="K53" i="3" s="1"/>
  <c r="I23" i="1"/>
  <c r="J23" i="1" s="1"/>
  <c r="H23" i="1"/>
  <c r="E24" i="4" l="1"/>
  <c r="K24" i="4" s="1"/>
  <c r="E26" i="3"/>
  <c r="K26" i="3" s="1"/>
  <c r="N23" i="1"/>
  <c r="I24" i="1"/>
  <c r="I25" i="1" s="1"/>
  <c r="H24" i="1"/>
  <c r="J24" i="1"/>
  <c r="N24" i="1"/>
  <c r="E27" i="3" l="1"/>
  <c r="K27" i="3" s="1"/>
  <c r="E25" i="4"/>
  <c r="K25" i="4" s="1"/>
  <c r="N25" i="1"/>
  <c r="J25" i="1"/>
  <c r="H25" i="1"/>
  <c r="I26" i="1"/>
  <c r="E28" i="3" l="1"/>
  <c r="K28" i="3" s="1"/>
  <c r="E26" i="4"/>
  <c r="K26" i="4" s="1"/>
  <c r="N26" i="1"/>
  <c r="H26" i="1"/>
  <c r="I27" i="1"/>
  <c r="J26" i="1"/>
  <c r="E29" i="3" l="1"/>
  <c r="K29" i="3" s="1"/>
  <c r="E27" i="4"/>
  <c r="K27" i="4" s="1"/>
  <c r="J27" i="1"/>
  <c r="I28" i="1"/>
  <c r="N27" i="1"/>
  <c r="H27" i="1"/>
  <c r="E30" i="3" l="1"/>
  <c r="K30" i="3" s="1"/>
  <c r="E28" i="4"/>
  <c r="K28" i="4" s="1"/>
  <c r="H28" i="1"/>
  <c r="N28" i="1"/>
  <c r="J28" i="1"/>
  <c r="I29" i="1"/>
  <c r="E29" i="4" l="1"/>
  <c r="K29" i="4" s="1"/>
  <c r="E31" i="3"/>
  <c r="K31" i="3" s="1"/>
  <c r="I30" i="1"/>
  <c r="H29" i="1"/>
  <c r="J29" i="1"/>
  <c r="N29" i="1"/>
  <c r="E30" i="4" l="1"/>
  <c r="K30" i="4" s="1"/>
  <c r="E32" i="3"/>
  <c r="K32" i="3" s="1"/>
  <c r="N30" i="1"/>
  <c r="I31" i="1"/>
  <c r="J30" i="1"/>
  <c r="H30" i="1"/>
  <c r="E31" i="4" l="1"/>
  <c r="K31" i="4" s="1"/>
  <c r="E33" i="3"/>
  <c r="K33" i="3" s="1"/>
  <c r="J31" i="1"/>
  <c r="I32" i="1"/>
  <c r="H31" i="1"/>
  <c r="N31" i="1"/>
  <c r="E34" i="3" l="1"/>
  <c r="K34" i="3" s="1"/>
  <c r="N32" i="1"/>
  <c r="J32" i="1"/>
  <c r="I45" i="1"/>
  <c r="H32" i="1"/>
  <c r="E32" i="4" l="1"/>
  <c r="K32" i="4" s="1"/>
  <c r="E35" i="3"/>
  <c r="K35" i="3" s="1"/>
  <c r="H45" i="1"/>
  <c r="N45" i="1"/>
  <c r="I46" i="1"/>
  <c r="J45" i="1"/>
  <c r="E39" i="4" l="1"/>
  <c r="K39" i="4" s="1"/>
  <c r="E48" i="3"/>
  <c r="K48" i="3" s="1"/>
  <c r="H46" i="1"/>
  <c r="J46" i="1"/>
  <c r="I47" i="1"/>
  <c r="N46" i="1"/>
  <c r="E40" i="4" l="1"/>
  <c r="K40" i="4" s="1"/>
  <c r="E49" i="3"/>
  <c r="K49" i="3" s="1"/>
  <c r="I48" i="1"/>
  <c r="H47" i="1"/>
  <c r="J47" i="1"/>
  <c r="N47" i="1"/>
  <c r="E50" i="3" l="1"/>
  <c r="K50" i="3" s="1"/>
  <c r="N48" i="1"/>
  <c r="J48" i="1"/>
  <c r="H48" i="1"/>
  <c r="E51" i="3" l="1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<sst xmlns="http://schemas.openxmlformats.org/spreadsheetml/2006/main" count="2152" uniqueCount="395">
  <si>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</si>
  <si>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</si>
  <si>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</si>
  <si>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</si>
  <si>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</si>
  <si>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</si>
  <si>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</si>
  <si>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</si>
  <si>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</si>
  <si>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</si>
  <si>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</si>
  <si>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</si>
  <si>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</si>
  <si>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</si>
  <si>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</si>
  <si>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</si>
  <si>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</si>
  <si>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</si>
  <si>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</si>
  <si>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</si>
  <si>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</si>
  <si>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</si>
  <si>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</si>
  <si>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</si>
  <si>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</si>
  <si>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</si>
  <si>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</si>
  <si>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</si>
  <si>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</si>
  <si>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</si>
  <si>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</si>
  <si>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</si>
  <si>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</si>
  <si>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</si>
  <si>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</si>
  <si>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</si>
  <si>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</si>
  <si>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</si>
  <si>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</si>
  <si>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</si>
  <si>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</si>
  <si>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</si>
  <si>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</si>
  <si>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</si>
  <si>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</si>
  <si>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</si>
  <si>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</si>
  <si>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</si>
  <si>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</si>
  <si>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</si>
  <si>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</si>
  <si>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</si>
  <si>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</si>
  <si>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</si>
  <si>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</si>
  <si>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</si>
  <si>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</si>
  <si>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</si>
  <si>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</si>
  <si>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</si>
  <si>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</si>
  <si>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</si>
  <si>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</si>
  <si>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</si>
  <si>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</si>
  <si>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</si>
  <si>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</si>
  <si>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</si>
  <si>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</si>
  <si>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</si>
  <si>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</si>
  <si>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</si>
  <si>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</si>
  <si>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</si>
  <si>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</si>
  <si>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</si>
  <si>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</si>
  <si>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</si>
  <si>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</si>
  <si>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</si>
  <si>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</si>
  <si>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</si>
  <si>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</si>
  <si>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</si>
  <si>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</si>
  <si>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</si>
  <si>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</si>
  <si>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</si>
  <si>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</si>
  <si>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</si>
  <si>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</si>
  <si>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</si>
  <si>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</si>
  <si>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</si>
  <si>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</si>
  <si>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</si>
  <si>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</si>
  <si>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</si>
  <si>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</si>
  <si>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</si>
  <si>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</si>
  <si>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</si>
  <si>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</si>
  <si>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</si>
  <si>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</si>
  <si>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</si>
  <si>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</si>
  <si>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</si>
  <si>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</si>
  <si>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</si>
  <si>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</si>
  <si>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</si>
  <si>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</si>
  <si>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</si>
  <si>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</si>
  <si>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</si>
  <si>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</si>
  <si>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</si>
  <si>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</si>
  <si>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</si>
  <si>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</si>
  <si>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</si>
  <si>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</si>
  <si>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</si>
  <si>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</si>
  <si>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</si>
  <si>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</si>
  <si>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</si>
  <si>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</si>
  <si>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</si>
  <si>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</si>
  <si>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</si>
  <si>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</si>
  <si>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</si>
  <si>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</si>
  <si>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</si>
  <si>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</si>
  <si>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</si>
  <si>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</si>
  <si>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</si>
  <si>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</si>
  <si>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</si>
  <si>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</si>
  <si>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</si>
  <si>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</si>
  <si>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</si>
  <si>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</si>
  <si>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</si>
  <si>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</si>
  <si>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</si>
  <si>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</si>
  <si>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</si>
  <si>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</si>
  <si>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</si>
  <si>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</si>
  <si>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</si>
  <si>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</si>
  <si>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</si>
  <si>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</si>
  <si>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</si>
  <si>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</si>
  <si>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</si>
  <si>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</si>
  <si>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</si>
  <si>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</si>
  <si>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</si>
  <si>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</si>
  <si>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</si>
  <si>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</si>
  <si>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</si>
  <si>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</si>
  <si>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</si>
  <si>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</si>
  <si>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</si>
  <si>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</si>
  <si>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</si>
  <si>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</si>
  <si>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</si>
  <si>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</si>
  <si>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</si>
  <si>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</si>
  <si>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</si>
  <si>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</si>
  <si>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</si>
  <si>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</si>
  <si>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</si>
  <si>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</si>
  <si>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</si>
  <si>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</si>
  <si>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</si>
  <si>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</si>
  <si>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</si>
  <si>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</si>
  <si>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</si>
  <si>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Validated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</si>
  <si>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</si>
  <si>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</si>
  <si>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</si>
  <si>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</si>
  <si>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</si>
  <si>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</si>
  <si>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</si>
  <si>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</si>
  <si>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</si>
  <si>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</si>
  <si>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</si>
  <si>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</si>
  <si>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</si>
  <si>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</si>
  <si>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</si>
  <si>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</si>
  <si>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</si>
  <si>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</si>
  <si>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</si>
  <si>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</si>
  <si>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</si>
  <si>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</si>
  <si>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</si>
  <si>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</si>
  <si>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</si>
  <si>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</si>
  <si>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</si>
  <si>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</si>
  <si>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</si>
  <si>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</si>
  <si>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</si>
  <si>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</si>
  <si>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</si>
  <si>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</si>
  <si>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</si>
  <si>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</si>
  <si>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</si>
  <si>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</si>
  <si>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</si>
  <si>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</si>
  <si>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</si>
  <si>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AVAILABLE,,BitAddress,PLC1,012295,,</t>
  </si>
  <si>
    <t>Force Fan 1 On/Off,,BitAddress,PLC1,012296,,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</si>
  <si>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</si>
  <si>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</si>
  <si>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</si>
  <si>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</si>
  <si>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</si>
  <si>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</si>
  <si>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On,,BitAddress,PLC1,012305,,</t>
  </si>
  <si>
    <t>System Shutting Down,,BitAddress,PLC1,012306,,</t>
  </si>
  <si>
    <t>System Initializing,,BitAddress,PLC1,012307,,</t>
  </si>
  <si>
    <t>System Calibrating,,BitAddress,PLC1,012308,,</t>
  </si>
  <si>
    <t>Measured Pump Power,,WordAddress,PLC1,412557,,</t>
  </si>
  <si>
    <t>Measured Inlet Coolant Temperature,,WordAddress,PLC1,412559,,</t>
  </si>
  <si>
    <t>Measured Conductivity,,WordAddress,PLC1,412561,,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</si>
  <si>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</si>
  <si>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</si>
  <si>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</si>
  <si>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</si>
  <si>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</si>
  <si>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</si>
  <si>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</si>
  <si>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Signal,,BitAddress,PLC1,012314,,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</si>
  <si>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</si>
  <si>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</si>
  <si>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</si>
  <si>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</si>
  <si>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</si>
  <si>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Measured Active Pump  Current,,WordAddress,PLC1,412579,,</t>
  </si>
  <si>
    <t>Pump 1 Total Hours,,WordAddress,PLC1,412455,,</t>
  </si>
  <si>
    <t>Pump 2 Total Hours,,WordAddress,PLC1,412457,,</t>
  </si>
  <si>
    <t>High Coolant Temperature ,,BitAddress,PLC1,012320,,</t>
  </si>
  <si>
    <t>Low Coolant Level in Vessel,,BitAddress,PLC1,012321,,</t>
  </si>
  <si>
    <t>High Coolant Conductivity ,,BitAddress,PLC1,012322,,</t>
  </si>
  <si>
    <t>Low Hydraulic Power,,BitAddress,PLC1,012323,,</t>
  </si>
  <si>
    <t>Low Hydraulic Flow,,BitAddress,PLC1,012324,,</t>
  </si>
  <si>
    <t>Low Hydraulic Pressure,,BitAddress,PLC1,012325,,</t>
  </si>
  <si>
    <t>Voltage Signal Malfunction,,BitAddress,PLC1,012326,,</t>
  </si>
  <si>
    <t>Current Signal Malfunction,,BitAddress,PLC1,012327,,</t>
  </si>
  <si>
    <t>Primary Hydraulic Failure,,BitAddress,PLC1,012328,,</t>
  </si>
  <si>
    <t>Secondary Hydraulic Failure,,BitAddress,PLC1,012329,,</t>
  </si>
  <si>
    <t>Automatic Valve Control Disabled,,BitAddress,PLC1,012330,,</t>
  </si>
  <si>
    <t>Automatic Fan Control Disabled,,BitAddress,PLC1,012331,,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</si>
  <si>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</si>
  <si>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</si>
  <si>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</si>
  <si>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</si>
  <si>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</si>
  <si>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Temperature,,BitAddress,PLC1,012337,,</t>
  </si>
  <si>
    <t>Critical Vessel Level,,BitAddress,PLC1,012338,,</t>
  </si>
  <si>
    <t>Critical Conductivity,,BitAddress,PLC1,012339,,</t>
  </si>
  <si>
    <t>Level Sensor Malfunction,,BitAddress,PLC1,012340,,</t>
  </si>
  <si>
    <t>Conductivity Sensor Malfunction,,BitAddress,PLC1,012341,,</t>
  </si>
  <si>
    <t>Bingo Pumps,,BitAddress,PLC1,012342,,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</si>
  <si>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</si>
  <si>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</si>
  <si>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</si>
  <si>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</si>
  <si>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</si>
  <si>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</si>
  <si>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</si>
  <si>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</si>
  <si>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Enable Pump Cycling,,BitAddress,PLC1,012351,,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</si>
  <si>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</si>
  <si>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</si>
  <si>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</si>
  <si>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</si>
  <si>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</si>
  <si>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</si>
  <si>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</si>
  <si>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</si>
  <si>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</si>
  <si>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</si>
  <si>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</si>
  <si>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</si>
  <si>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</si>
  <si>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Fault_ACK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</si>
  <si>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</si>
  <si>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</si>
  <si>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</si>
  <si>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</si>
  <si>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</si>
  <si>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</si>
  <si>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</si>
  <si>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Valve_Open_Percentage</t>
  </si>
  <si>
    <t>Real_RTD_1_Signal</t>
  </si>
  <si>
    <t>Real_RTD_2_Signal</t>
  </si>
  <si>
    <t>Real_RTD_3_Signal</t>
  </si>
  <si>
    <t>Measured_Valve_Position_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</si>
  <si>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</si>
  <si>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</si>
  <si>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</si>
  <si>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</si>
  <si>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</si>
  <si>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Output_Water_Level_Low_Low_Signal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</si>
  <si>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</si>
  <si>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</si>
  <si>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</si>
  <si>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</si>
  <si>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</si>
  <si>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</si>
  <si>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</si>
  <si>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</si>
  <si>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</si>
  <si>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</si>
  <si>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</si>
  <si>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</si>
  <si>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</si>
  <si>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</si>
  <si>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</si>
  <si>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</si>
  <si>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</si>
  <si>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</si>
  <si>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</si>
  <si>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</si>
  <si>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</si>
  <si>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</si>
  <si>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</si>
  <si>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</si>
  <si>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</si>
  <si>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</si>
  <si>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</si>
  <si>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</si>
  <si>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</si>
  <si>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</si>
  <si>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</si>
  <si>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</si>
  <si>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</si>
  <si>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</si>
  <si>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</si>
  <si>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</si>
  <si>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</si>
  <si>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</si>
  <si>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</si>
  <si>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</si>
  <si>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</si>
  <si>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</si>
  <si>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</si>
  <si>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</si>
  <si>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</si>
  <si>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</si>
  <si>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</si>
  <si>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</si>
  <si>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</si>
  <si>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</si>
  <si>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</si>
  <si>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</si>
  <si>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</si>
  <si>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</si>
  <si>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</si>
  <si>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</si>
  <si>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</si>
  <si>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</si>
  <si>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</si>
  <si>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</si>
  <si>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</si>
  <si>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</si>
  <si>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MICT</t>
  </si>
  <si>
    <t>Debounced_Water_Level_L_L_Signal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</si>
</sst>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abSelected="1" topLeftCell="A15" zoomScale="70" zoomScaleNormal="70" workbookViewId="0">
      <selection activeCell="C39" sqref="C39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207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182</v>
      </c>
      <c r="L1" s="2" t="s">
        <v>218</v>
      </c>
      <c r="M1" s="2" t="s">
        <v>186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194</v>
      </c>
    </row>
    <row r="2" spans="1:23" ht="14.25" customHeight="1" x14ac:dyDescent="0.3">
      <c r="A2" s="5" t="s">
        <v>8</v>
      </c>
      <c r="B2" s="6" t="s">
        <v>113</v>
      </c>
      <c r="C2" s="6" t="s">
        <v>301</v>
      </c>
      <c r="D2" s="6" t="s">
        <v>197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8"/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302</v>
      </c>
      <c r="D3" s="14" t="s">
        <v>197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181</v>
      </c>
      <c r="L3" s="6" t="s">
        <v>221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</row>
    <row r="4" spans="1:23" ht="14.25" customHeight="1" x14ac:dyDescent="0.3">
      <c r="A4" s="5" t="s">
        <v>8</v>
      </c>
      <c r="B4" s="7" t="s">
        <v>13</v>
      </c>
      <c r="C4" s="7" t="s">
        <v>303</v>
      </c>
      <c r="D4" s="14" t="s">
        <v>197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181</v>
      </c>
      <c r="L4" s="6" t="s">
        <v>221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</row>
    <row r="5" spans="1:23" ht="14.25" customHeight="1" x14ac:dyDescent="0.3">
      <c r="A5" s="5" t="s">
        <v>8</v>
      </c>
      <c r="B5" s="7" t="s">
        <v>14</v>
      </c>
      <c r="C5" s="7" t="s">
        <v>304</v>
      </c>
      <c r="D5" s="14" t="s">
        <v>199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181</v>
      </c>
      <c r="L5" s="6" t="s">
        <v>221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</row>
    <row r="6" spans="1:23" ht="14.25" customHeight="1" x14ac:dyDescent="0.3">
      <c r="A6" s="5" t="s">
        <v>8</v>
      </c>
      <c r="B6" s="7" t="s">
        <v>15</v>
      </c>
      <c r="C6" s="7" t="s">
        <v>305</v>
      </c>
      <c r="D6" s="14" t="s">
        <v>199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181</v>
      </c>
      <c r="L6" s="6" t="s">
        <v>221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</row>
    <row r="7" spans="1:23" ht="14.25" customHeight="1" x14ac:dyDescent="0.3">
      <c r="A7" s="5" t="s">
        <v>8</v>
      </c>
      <c r="B7" s="7" t="s">
        <v>16</v>
      </c>
      <c r="C7" s="7" t="s">
        <v>306</v>
      </c>
      <c r="D7" s="14" t="s">
        <v>198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183</v>
      </c>
      <c r="L7" s="6" t="s">
        <v>221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0</v>
      </c>
    </row>
    <row r="8" spans="1:23" ht="14.25" customHeight="1" x14ac:dyDescent="0.3">
      <c r="A8" s="5" t="s">
        <v>8</v>
      </c>
      <c r="B8" s="7" t="s">
        <v>17</v>
      </c>
      <c r="C8" s="7" t="s">
        <v>307</v>
      </c>
      <c r="D8" s="14" t="s">
        <v>200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183</v>
      </c>
      <c r="L8" s="6" t="s">
        <v>221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</row>
    <row r="9" spans="1:23" ht="14.25" customHeight="1" x14ac:dyDescent="0.3">
      <c r="A9" s="5" t="s">
        <v>8</v>
      </c>
      <c r="B9" s="7" t="s">
        <v>18</v>
      </c>
      <c r="C9" s="7" t="s">
        <v>193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221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0</v>
      </c>
    </row>
    <row r="10" spans="1:23" ht="14.25" customHeight="1" x14ac:dyDescent="0.3">
      <c r="A10" s="5" t="s">
        <v>8</v>
      </c>
      <c r="B10" s="7" t="s">
        <v>19</v>
      </c>
      <c r="C10" s="7" t="s">
        <v>391</v>
      </c>
      <c r="D10" s="14" t="s">
        <v>200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183</v>
      </c>
      <c r="L10" s="6" t="s">
        <v>221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</row>
    <row r="11" spans="1:23" ht="14.25" customHeight="1" x14ac:dyDescent="0.3">
      <c r="A11" s="5" t="s">
        <v>8</v>
      </c>
      <c r="B11" s="7" t="s">
        <v>20</v>
      </c>
      <c r="C11" s="7" t="s">
        <v>392</v>
      </c>
      <c r="D11" s="14" t="s">
        <v>200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183</v>
      </c>
      <c r="L11" s="6" t="s">
        <v>221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</row>
    <row r="12" spans="1:23" ht="14.25" customHeight="1" x14ac:dyDescent="0.3">
      <c r="A12" s="5" t="s">
        <v>8</v>
      </c>
      <c r="B12" s="7" t="s">
        <v>21</v>
      </c>
      <c r="C12" s="7" t="s">
        <v>308</v>
      </c>
      <c r="D12" s="14" t="s">
        <v>206</v>
      </c>
      <c r="E12" s="6" t="s">
        <v>140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181</v>
      </c>
      <c r="L12" s="6" t="s">
        <v>221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0</v>
      </c>
    </row>
    <row r="13" spans="1:23" ht="14.25" customHeight="1" x14ac:dyDescent="0.3">
      <c r="A13" s="5" t="s">
        <v>8</v>
      </c>
      <c r="B13" s="7" t="s">
        <v>22</v>
      </c>
      <c r="C13" s="7" t="s">
        <v>309</v>
      </c>
      <c r="D13" s="14" t="s">
        <v>206</v>
      </c>
      <c r="E13" s="6" t="s">
        <v>140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181</v>
      </c>
      <c r="L13" s="6" t="s">
        <v>221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0</v>
      </c>
    </row>
    <row r="14" spans="1:23" ht="14.25" customHeight="1" x14ac:dyDescent="0.3">
      <c r="A14" s="5" t="s">
        <v>8</v>
      </c>
      <c r="B14" s="7" t="s">
        <v>23</v>
      </c>
      <c r="C14" s="7" t="s">
        <v>310</v>
      </c>
      <c r="D14" s="14" t="s">
        <v>199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181</v>
      </c>
      <c r="L14" s="6" t="s">
        <v>221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0</v>
      </c>
    </row>
    <row r="15" spans="1:23" ht="14.25" customHeight="1" x14ac:dyDescent="0.3">
      <c r="A15" s="5" t="s">
        <v>8</v>
      </c>
      <c r="B15" s="7" t="s">
        <v>24</v>
      </c>
      <c r="C15" s="7" t="s">
        <v>311</v>
      </c>
      <c r="D15" s="14" t="s">
        <v>199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181</v>
      </c>
      <c r="L15" s="6" t="s">
        <v>221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0</v>
      </c>
    </row>
    <row r="16" spans="1:23" ht="14.25" customHeight="1" x14ac:dyDescent="0.3">
      <c r="A16" s="5" t="s">
        <v>8</v>
      </c>
      <c r="B16" s="7" t="s">
        <v>25</v>
      </c>
      <c r="C16" s="7" t="s">
        <v>312</v>
      </c>
      <c r="D16" s="14" t="s">
        <v>197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181</v>
      </c>
      <c r="L16" s="6" t="s">
        <v>221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0</v>
      </c>
    </row>
    <row r="17" spans="1:23" ht="14.25" customHeight="1" x14ac:dyDescent="0.3">
      <c r="A17" s="5" t="s">
        <v>8</v>
      </c>
      <c r="B17" s="7" t="s">
        <v>125</v>
      </c>
      <c r="C17" s="5" t="s">
        <v>193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0</v>
      </c>
    </row>
    <row r="18" spans="1:23" ht="14.25" customHeight="1" x14ac:dyDescent="0.3">
      <c r="A18" s="5" t="s">
        <v>8</v>
      </c>
      <c r="B18" s="7" t="s">
        <v>126</v>
      </c>
      <c r="C18" s="5" t="s">
        <v>193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0</v>
      </c>
    </row>
    <row r="19" spans="1:23" ht="14.25" customHeight="1" x14ac:dyDescent="0.3">
      <c r="A19" s="5" t="s">
        <v>26</v>
      </c>
      <c r="B19" s="7" t="s">
        <v>27</v>
      </c>
      <c r="C19" s="7" t="s">
        <v>313</v>
      </c>
      <c r="D19" s="14" t="s">
        <v>197</v>
      </c>
      <c r="E19" s="6" t="s">
        <v>140</v>
      </c>
      <c r="F19" s="7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184</v>
      </c>
      <c r="L19" s="6" t="s">
        <v>221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0</v>
      </c>
    </row>
    <row r="20" spans="1:23" ht="14.25" customHeight="1" x14ac:dyDescent="0.3">
      <c r="A20" s="5" t="s">
        <v>26</v>
      </c>
      <c r="B20" s="7" t="s">
        <v>28</v>
      </c>
      <c r="C20" s="7" t="s">
        <v>314</v>
      </c>
      <c r="D20" s="14" t="s">
        <v>197</v>
      </c>
      <c r="E20" s="6" t="s">
        <v>140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184</v>
      </c>
      <c r="L20" s="6" t="s">
        <v>221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0</v>
      </c>
    </row>
    <row r="21" spans="1:23" ht="14.25" customHeight="1" x14ac:dyDescent="0.3">
      <c r="A21" s="5" t="s">
        <v>26</v>
      </c>
      <c r="B21" s="7" t="s">
        <v>29</v>
      </c>
      <c r="C21" s="7" t="s">
        <v>315</v>
      </c>
      <c r="D21" s="14" t="s">
        <v>197</v>
      </c>
      <c r="E21" s="6" t="s">
        <v>140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184</v>
      </c>
      <c r="L21" s="6" t="s">
        <v>221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0</v>
      </c>
    </row>
    <row r="22" spans="1:23" ht="14.25" customHeight="1" x14ac:dyDescent="0.3">
      <c r="A22" s="5" t="s">
        <v>26</v>
      </c>
      <c r="B22" s="7" t="s">
        <v>30</v>
      </c>
      <c r="C22" s="7" t="s">
        <v>316</v>
      </c>
      <c r="D22" s="14" t="s">
        <v>197</v>
      </c>
      <c r="E22" s="6" t="s">
        <v>140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184</v>
      </c>
      <c r="L22" s="6" t="s">
        <v>221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0</v>
      </c>
    </row>
    <row r="23" spans="1:23" ht="14.25" customHeight="1" x14ac:dyDescent="0.3">
      <c r="A23" s="5" t="s">
        <v>26</v>
      </c>
      <c r="B23" s="7" t="s">
        <v>31</v>
      </c>
      <c r="C23" s="7" t="s">
        <v>317</v>
      </c>
      <c r="D23" s="14" t="s">
        <v>199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185</v>
      </c>
      <c r="L23" s="6" t="s">
        <v>219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0</v>
      </c>
    </row>
    <row r="24" spans="1:23" ht="14.25" customHeight="1" x14ac:dyDescent="0.3">
      <c r="A24" s="5" t="s">
        <v>26</v>
      </c>
      <c r="B24" s="7" t="s">
        <v>32</v>
      </c>
      <c r="C24" s="15" t="s">
        <v>393</v>
      </c>
      <c r="D24" s="14" t="s">
        <v>203</v>
      </c>
      <c r="E24" s="6" t="s">
        <v>140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185</v>
      </c>
      <c r="L24" s="6" t="s">
        <v>219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0</v>
      </c>
    </row>
    <row r="25" spans="1:23" ht="14.25" customHeight="1" x14ac:dyDescent="0.3">
      <c r="A25" s="5" t="s">
        <v>26</v>
      </c>
      <c r="B25" s="7" t="s">
        <v>34</v>
      </c>
      <c r="C25" s="7" t="s">
        <v>318</v>
      </c>
      <c r="D25" s="14" t="s">
        <v>201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185</v>
      </c>
      <c r="L25" s="6" t="s">
        <v>219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0</v>
      </c>
    </row>
    <row r="26" spans="1:23" ht="14.25" customHeight="1" x14ac:dyDescent="0.3">
      <c r="A26" s="5" t="s">
        <v>26</v>
      </c>
      <c r="B26" s="7" t="s">
        <v>35</v>
      </c>
      <c r="C26" s="7" t="s">
        <v>319</v>
      </c>
      <c r="D26" s="14" t="s">
        <v>202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185</v>
      </c>
      <c r="L26" s="6" t="s">
        <v>219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0</v>
      </c>
    </row>
    <row r="27" spans="1:23" ht="14.25" customHeight="1" x14ac:dyDescent="0.3">
      <c r="A27" s="5" t="s">
        <v>26</v>
      </c>
      <c r="B27" s="7" t="s">
        <v>36</v>
      </c>
      <c r="C27" s="7" t="s">
        <v>320</v>
      </c>
      <c r="D27" s="14" t="s">
        <v>198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185</v>
      </c>
      <c r="L27" s="6" t="s">
        <v>219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0</v>
      </c>
    </row>
    <row r="28" spans="1:23" ht="14.25" customHeight="1" x14ac:dyDescent="0.3">
      <c r="A28" s="5" t="s">
        <v>26</v>
      </c>
      <c r="B28" s="7" t="s">
        <v>37</v>
      </c>
      <c r="C28" s="7" t="s">
        <v>321</v>
      </c>
      <c r="D28" s="14" t="s">
        <v>203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185</v>
      </c>
      <c r="L28" s="6" t="s">
        <v>219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0</v>
      </c>
    </row>
    <row r="29" spans="1:23" ht="14.25" customHeight="1" x14ac:dyDescent="0.3">
      <c r="A29" s="5" t="s">
        <v>26</v>
      </c>
      <c r="B29" s="7" t="s">
        <v>38</v>
      </c>
      <c r="C29" s="7" t="s">
        <v>322</v>
      </c>
      <c r="D29" s="14" t="s">
        <v>203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185</v>
      </c>
      <c r="L29" s="6" t="s">
        <v>219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0</v>
      </c>
    </row>
    <row r="30" spans="1:23" ht="14.25" customHeight="1" x14ac:dyDescent="0.3">
      <c r="A30" s="5" t="s">
        <v>26</v>
      </c>
      <c r="B30" s="7" t="s">
        <v>39</v>
      </c>
      <c r="C30" s="7" t="s">
        <v>323</v>
      </c>
      <c r="D30" s="14" t="s">
        <v>203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185</v>
      </c>
      <c r="L30" s="6" t="s">
        <v>219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0</v>
      </c>
    </row>
    <row r="31" spans="1:23" ht="14.25" customHeight="1" x14ac:dyDescent="0.3">
      <c r="A31" s="5" t="s">
        <v>26</v>
      </c>
      <c r="B31" s="7" t="s">
        <v>40</v>
      </c>
      <c r="C31" s="9" t="s">
        <v>193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185</v>
      </c>
      <c r="L31" s="6" t="s">
        <v>219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0</v>
      </c>
    </row>
    <row r="32" spans="1:23" ht="14.25" customHeight="1" x14ac:dyDescent="0.3">
      <c r="A32" s="5" t="s">
        <v>26</v>
      </c>
      <c r="B32" s="7" t="s">
        <v>41</v>
      </c>
      <c r="C32" t="s">
        <v>324</v>
      </c>
      <c r="D32" t="s">
        <v>198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185</v>
      </c>
      <c r="L32" s="6" t="s">
        <v>219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0</v>
      </c>
    </row>
    <row r="33" spans="1:23" ht="14.25" customHeight="1" x14ac:dyDescent="0.3">
      <c r="A33" s="5" t="s">
        <v>26</v>
      </c>
      <c r="B33" s="7" t="s">
        <v>42</v>
      </c>
      <c r="C33" s="7" t="s">
        <v>325</v>
      </c>
      <c r="D33" s="14" t="s">
        <v>205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219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0</v>
      </c>
    </row>
    <row r="34" spans="1:23" ht="14.25" customHeight="1" x14ac:dyDescent="0.3">
      <c r="A34" s="5" t="s">
        <v>26</v>
      </c>
      <c r="B34" s="7" t="s">
        <v>43</v>
      </c>
      <c r="C34" s="15" t="s">
        <v>394</v>
      </c>
      <c r="D34" s="14" t="s">
        <v>205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0</v>
      </c>
    </row>
    <row r="35" spans="1:23" ht="14.25" customHeight="1" x14ac:dyDescent="0.3">
      <c r="A35" s="5" t="s">
        <v>26</v>
      </c>
      <c r="B35" s="7" t="s">
        <v>44</v>
      </c>
      <c r="C35" s="7" t="s">
        <v>326</v>
      </c>
      <c r="D35" s="14" t="s">
        <v>204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0</v>
      </c>
    </row>
    <row r="36" spans="1:23" ht="14.25" customHeight="1" x14ac:dyDescent="0.3">
      <c r="A36" s="5" t="s">
        <v>26</v>
      </c>
      <c r="B36" s="7" t="s">
        <v>45</v>
      </c>
      <c r="C36" s="7" t="s">
        <v>327</v>
      </c>
      <c r="D36" s="14" t="s">
        <v>201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0</v>
      </c>
    </row>
    <row r="37" spans="1:23" ht="14.25" customHeight="1" x14ac:dyDescent="0.3">
      <c r="A37" s="5" t="s">
        <v>26</v>
      </c>
      <c r="B37" s="7" t="s">
        <v>46</v>
      </c>
      <c r="C37" s="7" t="s">
        <v>328</v>
      </c>
      <c r="D37" s="14" t="s">
        <v>201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0</v>
      </c>
    </row>
    <row r="38" spans="1:23" ht="14.25" customHeight="1" x14ac:dyDescent="0.3">
      <c r="A38" s="5" t="s">
        <v>26</v>
      </c>
      <c r="B38" s="7" t="s">
        <v>47</v>
      </c>
      <c r="C38" s="7" t="s">
        <v>329</v>
      </c>
      <c r="D38" s="14" t="s">
        <v>205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184</v>
      </c>
      <c r="L38" s="6" t="s">
        <v>221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0</v>
      </c>
    </row>
    <row r="39" spans="1:23" ht="14.25" customHeight="1" x14ac:dyDescent="0.3">
      <c r="A39" s="5" t="s">
        <v>26</v>
      </c>
      <c r="B39" s="7" t="s">
        <v>48</v>
      </c>
      <c r="C39" s="7" t="s">
        <v>330</v>
      </c>
      <c r="D39" s="14" t="s">
        <v>205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184</v>
      </c>
      <c r="L39" s="6" t="s">
        <v>221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0</v>
      </c>
    </row>
    <row r="40" spans="1:23" ht="14.25" customHeight="1" x14ac:dyDescent="0.3">
      <c r="A40" s="5" t="s">
        <v>26</v>
      </c>
      <c r="B40" s="7" t="s">
        <v>49</v>
      </c>
      <c r="C40" s="7" t="s">
        <v>331</v>
      </c>
      <c r="D40" s="14" t="s">
        <v>204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184</v>
      </c>
      <c r="L40" s="6" t="s">
        <v>221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0</v>
      </c>
    </row>
    <row r="41" spans="1:23" ht="14.25" customHeight="1" x14ac:dyDescent="0.3">
      <c r="A41" s="5" t="s">
        <v>26</v>
      </c>
      <c r="B41" s="7" t="s">
        <v>50</v>
      </c>
      <c r="C41" s="7" t="s">
        <v>332</v>
      </c>
      <c r="D41" s="14" t="s">
        <v>201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184</v>
      </c>
      <c r="L41" s="6" t="s">
        <v>221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0</v>
      </c>
    </row>
    <row r="42" spans="1:23" ht="14.25" customHeight="1" x14ac:dyDescent="0.3">
      <c r="A42" s="5" t="s">
        <v>26</v>
      </c>
      <c r="B42" s="7" t="s">
        <v>51</v>
      </c>
      <c r="C42" s="7" t="s">
        <v>333</v>
      </c>
      <c r="D42" s="14" t="s">
        <v>201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184</v>
      </c>
      <c r="L42" s="6" t="s">
        <v>221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0</v>
      </c>
    </row>
    <row r="43" spans="1:23" ht="14.25" customHeight="1" x14ac:dyDescent="0.3">
      <c r="A43" s="5" t="s">
        <v>26</v>
      </c>
      <c r="B43" s="7" t="s">
        <v>52</v>
      </c>
      <c r="C43" s="5" t="s">
        <v>334</v>
      </c>
      <c r="D43" s="14" t="s">
        <v>199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0</v>
      </c>
    </row>
    <row r="44" spans="1:23" ht="14.25" customHeight="1" x14ac:dyDescent="0.3">
      <c r="A44" s="5" t="s">
        <v>26</v>
      </c>
      <c r="B44" t="s">
        <v>105</v>
      </c>
      <c r="C44" s="5" t="s">
        <v>335</v>
      </c>
      <c r="D44" s="14" t="s">
        <v>197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0</v>
      </c>
    </row>
    <row r="45" spans="1:23" ht="14.25" customHeight="1" x14ac:dyDescent="0.3">
      <c r="A45" s="5" t="s">
        <v>26</v>
      </c>
      <c r="B45" t="s">
        <v>107</v>
      </c>
      <c r="C45" t="s">
        <v>336</v>
      </c>
      <c r="D45" t="s">
        <v>199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185</v>
      </c>
      <c r="L45" s="6" t="s">
        <v>219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0</v>
      </c>
    </row>
    <row r="46" spans="1:23" ht="14.25" customHeight="1" x14ac:dyDescent="0.3">
      <c r="A46" s="5" t="s">
        <v>26</v>
      </c>
      <c r="B46" t="s">
        <v>108</v>
      </c>
      <c r="C46" t="s">
        <v>337</v>
      </c>
      <c r="D46" t="s">
        <v>199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185</v>
      </c>
      <c r="L46" s="6" t="s">
        <v>219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0</v>
      </c>
    </row>
    <row r="47" spans="1:23" ht="14.25" customHeight="1" x14ac:dyDescent="0.3">
      <c r="A47" s="5" t="s">
        <v>26</v>
      </c>
      <c r="B47" t="s">
        <v>109</v>
      </c>
      <c r="C47" t="s">
        <v>193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185</v>
      </c>
      <c r="L47" s="6" t="s">
        <v>219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0</v>
      </c>
    </row>
    <row r="48" spans="1:23" ht="14.25" customHeight="1" x14ac:dyDescent="0.3">
      <c r="A48" s="5" t="s">
        <v>26</v>
      </c>
      <c r="B48" t="s">
        <v>110</v>
      </c>
      <c r="C48" t="s">
        <v>193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0</v>
      </c>
    </row>
    <row r="49" spans="1:23" ht="14.25" customHeight="1" x14ac:dyDescent="0.3">
      <c r="A49" s="5" t="s">
        <v>26</v>
      </c>
      <c r="B49" s="5" t="s">
        <v>111</v>
      </c>
      <c r="C49" s="5" t="s">
        <v>338</v>
      </c>
      <c r="D49" s="14" t="s">
        <v>199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185</v>
      </c>
      <c r="L49" s="6" t="s">
        <v>219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0</v>
      </c>
    </row>
    <row r="50" spans="1:23" ht="14.25" customHeight="1" x14ac:dyDescent="0.3">
      <c r="A50" s="5" t="s">
        <v>26</v>
      </c>
      <c r="B50" s="5" t="s">
        <v>112</v>
      </c>
      <c r="C50" s="5" t="s">
        <v>339</v>
      </c>
      <c r="D50" s="14" t="s">
        <v>199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185</v>
      </c>
      <c r="L50" s="6" t="s">
        <v>219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0</v>
      </c>
    </row>
    <row r="51" spans="1:23" ht="14.25" customHeight="1" x14ac:dyDescent="0.3">
      <c r="A51" s="5" t="s">
        <v>53</v>
      </c>
      <c r="B51" s="5" t="s">
        <v>54</v>
      </c>
      <c r="C51" s="7" t="s">
        <v>340</v>
      </c>
      <c r="D51" s="14" t="s">
        <v>203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184</v>
      </c>
      <c r="L51" s="6" t="s">
        <v>221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0</v>
      </c>
    </row>
    <row r="52" spans="1:23" ht="14.25" customHeight="1" x14ac:dyDescent="0.3">
      <c r="A52" s="5" t="s">
        <v>53</v>
      </c>
      <c r="B52" s="7" t="s">
        <v>55</v>
      </c>
      <c r="C52" s="7" t="s">
        <v>341</v>
      </c>
      <c r="D52" s="14" t="s">
        <v>205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184</v>
      </c>
      <c r="L52" s="6" t="s">
        <v>221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0</v>
      </c>
    </row>
    <row r="53" spans="1:23" ht="14.25" customHeight="1" x14ac:dyDescent="0.3">
      <c r="A53" s="5" t="s">
        <v>53</v>
      </c>
      <c r="B53" s="7" t="s">
        <v>56</v>
      </c>
      <c r="C53" s="7" t="s">
        <v>342</v>
      </c>
      <c r="D53" s="14" t="s">
        <v>201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184</v>
      </c>
      <c r="L53" s="6" t="s">
        <v>221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0</v>
      </c>
    </row>
    <row r="54" spans="1:23" ht="14.25" customHeight="1" x14ac:dyDescent="0.3">
      <c r="A54" s="5" t="s">
        <v>53</v>
      </c>
      <c r="B54" s="7" t="s">
        <v>57</v>
      </c>
      <c r="C54" s="7" t="s">
        <v>343</v>
      </c>
      <c r="D54" s="14" t="s">
        <v>199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184</v>
      </c>
      <c r="L54" s="6" t="s">
        <v>221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0</v>
      </c>
    </row>
    <row r="55" spans="1:23" ht="14.25" customHeight="1" x14ac:dyDescent="0.3">
      <c r="A55" s="5" t="s">
        <v>53</v>
      </c>
      <c r="B55" s="7" t="s">
        <v>58</v>
      </c>
      <c r="C55" s="7" t="s">
        <v>344</v>
      </c>
      <c r="D55" s="14" t="s">
        <v>202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184</v>
      </c>
      <c r="L55" s="6" t="s">
        <v>221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0</v>
      </c>
    </row>
    <row r="56" spans="1:23" ht="14.25" customHeight="1" x14ac:dyDescent="0.3">
      <c r="A56" s="5" t="s">
        <v>53</v>
      </c>
      <c r="B56" s="7" t="s">
        <v>59</v>
      </c>
      <c r="C56" s="7" t="s">
        <v>345</v>
      </c>
      <c r="D56" s="14" t="s">
        <v>204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184</v>
      </c>
      <c r="L56" s="6" t="s">
        <v>221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0</v>
      </c>
    </row>
    <row r="57" spans="1:23" ht="14.25" customHeight="1" x14ac:dyDescent="0.3">
      <c r="A57" s="5" t="s">
        <v>53</v>
      </c>
      <c r="B57" s="7" t="s">
        <v>60</v>
      </c>
      <c r="C57" s="9" t="s">
        <v>346</v>
      </c>
      <c r="D57" s="14" t="s">
        <v>199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184</v>
      </c>
      <c r="L57" s="6" t="s">
        <v>221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0</v>
      </c>
    </row>
    <row r="58" spans="1:23" ht="14.25" customHeight="1" x14ac:dyDescent="0.3">
      <c r="A58" s="5" t="s">
        <v>53</v>
      </c>
      <c r="B58" s="7" t="s">
        <v>61</v>
      </c>
      <c r="C58" s="9" t="s">
        <v>347</v>
      </c>
      <c r="D58" s="14" t="s">
        <v>199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184</v>
      </c>
      <c r="L58" s="6" t="s">
        <v>221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0</v>
      </c>
    </row>
    <row r="59" spans="1:23" ht="14.25" customHeight="1" x14ac:dyDescent="0.3">
      <c r="A59" s="5" t="s">
        <v>53</v>
      </c>
      <c r="B59" s="7" t="s">
        <v>62</v>
      </c>
      <c r="C59" s="7" t="s">
        <v>348</v>
      </c>
      <c r="D59" s="14" t="s">
        <v>206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184</v>
      </c>
      <c r="L59" s="6" t="s">
        <v>221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0</v>
      </c>
    </row>
    <row r="60" spans="1:23" ht="14.25" customHeight="1" x14ac:dyDescent="0.3">
      <c r="A60" s="5" t="s">
        <v>53</v>
      </c>
      <c r="B60" s="7" t="s">
        <v>63</v>
      </c>
      <c r="C60" s="7" t="s">
        <v>349</v>
      </c>
      <c r="D60" s="14" t="s">
        <v>206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184</v>
      </c>
      <c r="L60" s="6" t="s">
        <v>221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0</v>
      </c>
    </row>
    <row r="61" spans="1:23" ht="14.25" customHeight="1" x14ac:dyDescent="0.3">
      <c r="A61" s="5" t="s">
        <v>53</v>
      </c>
      <c r="B61" s="7" t="s">
        <v>64</v>
      </c>
      <c r="C61" s="7" t="s">
        <v>350</v>
      </c>
      <c r="D61" s="14" t="s">
        <v>198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184</v>
      </c>
      <c r="L61" s="6" t="s">
        <v>221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0</v>
      </c>
    </row>
    <row r="62" spans="1:23" ht="14.25" customHeight="1" x14ac:dyDescent="0.3">
      <c r="A62" s="5" t="s">
        <v>53</v>
      </c>
      <c r="B62" s="7" t="s">
        <v>65</v>
      </c>
      <c r="C62" s="7" t="s">
        <v>351</v>
      </c>
      <c r="D62" s="14" t="s">
        <v>200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184</v>
      </c>
      <c r="L62" s="6" t="s">
        <v>221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0</v>
      </c>
    </row>
    <row r="63" spans="1:23" ht="14.25" customHeight="1" x14ac:dyDescent="0.3">
      <c r="A63" s="5" t="s">
        <v>53</v>
      </c>
      <c r="B63" s="7" t="s">
        <v>66</v>
      </c>
      <c r="C63" s="7" t="s">
        <v>352</v>
      </c>
      <c r="D63" s="14" t="s">
        <v>202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184</v>
      </c>
      <c r="L63" s="6" t="s">
        <v>221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0</v>
      </c>
    </row>
    <row r="64" spans="1:23" ht="14.25" customHeight="1" x14ac:dyDescent="0.3">
      <c r="A64" s="5" t="s">
        <v>53</v>
      </c>
      <c r="B64" s="7" t="s">
        <v>67</v>
      </c>
      <c r="C64" s="7" t="s">
        <v>353</v>
      </c>
      <c r="D64" s="14" t="s">
        <v>203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184</v>
      </c>
      <c r="L64" s="6" t="s">
        <v>221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0</v>
      </c>
    </row>
    <row r="65" spans="1:23" ht="14.25" customHeight="1" x14ac:dyDescent="0.3">
      <c r="A65" s="5" t="s">
        <v>53</v>
      </c>
      <c r="B65" s="7" t="s">
        <v>68</v>
      </c>
      <c r="C65" s="7" t="s">
        <v>354</v>
      </c>
      <c r="D65" s="14" t="s">
        <v>203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184</v>
      </c>
      <c r="L65" s="6" t="s">
        <v>221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0</v>
      </c>
    </row>
    <row r="66" spans="1:23" ht="14.25" customHeight="1" x14ac:dyDescent="0.3">
      <c r="A66" s="5" t="s">
        <v>53</v>
      </c>
      <c r="B66" s="7" t="s">
        <v>69</v>
      </c>
      <c r="C66" s="7" t="s">
        <v>355</v>
      </c>
      <c r="D66" s="14" t="s">
        <v>203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184</v>
      </c>
      <c r="L66" s="6" t="s">
        <v>221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0</v>
      </c>
    </row>
    <row r="67" spans="1:23" ht="14.25" customHeight="1" x14ac:dyDescent="0.3">
      <c r="A67" s="5" t="s">
        <v>53</v>
      </c>
      <c r="B67" s="7" t="s">
        <v>70</v>
      </c>
      <c r="C67" s="9" t="s">
        <v>356</v>
      </c>
      <c r="D67" s="14" t="s">
        <v>199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184</v>
      </c>
      <c r="L67" s="6" t="s">
        <v>221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0</v>
      </c>
    </row>
    <row r="68" spans="1:23" ht="14.25" customHeight="1" x14ac:dyDescent="0.3">
      <c r="A68" s="5" t="s">
        <v>71</v>
      </c>
      <c r="B68" s="7" t="s">
        <v>72</v>
      </c>
      <c r="C68" s="7" t="s">
        <v>357</v>
      </c>
      <c r="D68" s="14" t="s">
        <v>203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184</v>
      </c>
      <c r="L68" s="6" t="s">
        <v>221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0</v>
      </c>
    </row>
    <row r="69" spans="1:23" ht="14.25" customHeight="1" x14ac:dyDescent="0.3">
      <c r="A69" s="5" t="s">
        <v>71</v>
      </c>
      <c r="B69" s="7" t="s">
        <v>73</v>
      </c>
      <c r="C69" s="7" t="s">
        <v>358</v>
      </c>
      <c r="D69" s="14" t="s">
        <v>205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184</v>
      </c>
      <c r="L69" s="6" t="s">
        <v>221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0</v>
      </c>
    </row>
    <row r="70" spans="1:23" ht="14.25" customHeight="1" x14ac:dyDescent="0.3">
      <c r="A70" s="5" t="s">
        <v>71</v>
      </c>
      <c r="B70" s="7" t="s">
        <v>74</v>
      </c>
      <c r="C70" s="7" t="s">
        <v>359</v>
      </c>
      <c r="D70" s="14" t="s">
        <v>201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184</v>
      </c>
      <c r="L70" s="6" t="s">
        <v>221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0</v>
      </c>
    </row>
    <row r="71" spans="1:23" ht="14.25" customHeight="1" x14ac:dyDescent="0.3">
      <c r="A71" s="5" t="s">
        <v>71</v>
      </c>
      <c r="B71" s="7" t="s">
        <v>75</v>
      </c>
      <c r="C71" s="7" t="s">
        <v>360</v>
      </c>
      <c r="D71" s="14" t="s">
        <v>205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184</v>
      </c>
      <c r="L71" s="6" t="s">
        <v>221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0</v>
      </c>
    </row>
    <row r="72" spans="1:23" ht="14.25" customHeight="1" x14ac:dyDescent="0.3">
      <c r="A72" s="5" t="s">
        <v>71</v>
      </c>
      <c r="B72" s="7" t="s">
        <v>76</v>
      </c>
      <c r="C72" s="7" t="s">
        <v>361</v>
      </c>
      <c r="D72" s="14" t="s">
        <v>201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184</v>
      </c>
      <c r="L72" s="6" t="s">
        <v>221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0</v>
      </c>
    </row>
    <row r="73" spans="1:23" ht="14.25" customHeight="1" x14ac:dyDescent="0.3">
      <c r="A73" s="5" t="s">
        <v>71</v>
      </c>
      <c r="B73" s="7" t="s">
        <v>77</v>
      </c>
      <c r="C73" s="9" t="s">
        <v>362</v>
      </c>
      <c r="D73" s="14" t="s">
        <v>199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184</v>
      </c>
      <c r="L73" s="6" t="s">
        <v>221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0</v>
      </c>
    </row>
    <row r="74" spans="1:23" ht="14.25" customHeight="1" x14ac:dyDescent="0.3">
      <c r="A74" s="5" t="s">
        <v>71</v>
      </c>
      <c r="B74" s="7" t="s">
        <v>78</v>
      </c>
      <c r="C74" s="13" t="s">
        <v>363</v>
      </c>
      <c r="D74" s="14" t="s">
        <v>203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184</v>
      </c>
      <c r="L74" s="6" t="s">
        <v>221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0</v>
      </c>
    </row>
    <row r="75" spans="1:23" ht="14.25" customHeight="1" x14ac:dyDescent="0.3">
      <c r="A75" s="5" t="s">
        <v>71</v>
      </c>
      <c r="B75" s="7" t="s">
        <v>79</v>
      </c>
      <c r="C75" s="9" t="s">
        <v>364</v>
      </c>
      <c r="D75" s="14" t="s">
        <v>198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184</v>
      </c>
      <c r="L75" s="6" t="s">
        <v>221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0</v>
      </c>
    </row>
    <row r="76" spans="1:23" ht="14.25" customHeight="1" x14ac:dyDescent="0.3">
      <c r="A76" s="5" t="s">
        <v>71</v>
      </c>
      <c r="B76" s="5" t="s">
        <v>123</v>
      </c>
      <c r="C76" s="5" t="s">
        <v>365</v>
      </c>
      <c r="D76" s="14" t="s">
        <v>197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184</v>
      </c>
      <c r="L76" s="6" t="s">
        <v>221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0</v>
      </c>
    </row>
    <row r="77" spans="1:23" ht="14.25" customHeight="1" x14ac:dyDescent="0.3">
      <c r="A77" s="5" t="s">
        <v>80</v>
      </c>
      <c r="B77" s="7" t="s">
        <v>81</v>
      </c>
      <c r="C77" s="9" t="s">
        <v>366</v>
      </c>
      <c r="D77" s="14" t="s">
        <v>201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8"/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177</v>
      </c>
      <c r="U77" s="5" t="s">
        <v>12</v>
      </c>
      <c r="V77" s="5" t="s">
        <v>11</v>
      </c>
      <c r="W77" s="12" t="b">
        <v>0</v>
      </c>
    </row>
    <row r="78" spans="1:23" ht="14.25" customHeight="1" x14ac:dyDescent="0.3">
      <c r="A78" s="5" t="s">
        <v>80</v>
      </c>
      <c r="B78" s="7" t="s">
        <v>84</v>
      </c>
      <c r="C78" s="7" t="s">
        <v>367</v>
      </c>
      <c r="D78" s="14" t="s">
        <v>203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8"/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178</v>
      </c>
      <c r="U78" s="5" t="s">
        <v>12</v>
      </c>
      <c r="V78" s="5" t="s">
        <v>11</v>
      </c>
      <c r="W78" s="12" t="b">
        <v>0</v>
      </c>
    </row>
    <row r="79" spans="1:23" ht="14.25" customHeight="1" x14ac:dyDescent="0.3">
      <c r="A79" s="5" t="s">
        <v>80</v>
      </c>
      <c r="B79" s="7" t="s">
        <v>86</v>
      </c>
      <c r="C79" s="7" t="s">
        <v>368</v>
      </c>
      <c r="D79" s="14" t="s">
        <v>203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8"/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179</v>
      </c>
      <c r="U79" s="5" t="s">
        <v>12</v>
      </c>
      <c r="V79" s="5" t="s">
        <v>11</v>
      </c>
      <c r="W79" s="12" t="b">
        <v>0</v>
      </c>
    </row>
    <row r="80" spans="1:23" ht="13.8" customHeight="1" x14ac:dyDescent="0.3">
      <c r="A80" s="5" t="s">
        <v>80</v>
      </c>
      <c r="B80" s="7" t="s">
        <v>87</v>
      </c>
      <c r="C80" s="7" t="s">
        <v>369</v>
      </c>
      <c r="D80" s="14" t="s">
        <v>203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8"/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180</v>
      </c>
      <c r="U80" s="5" t="s">
        <v>12</v>
      </c>
      <c r="V80" s="5" t="s">
        <v>11</v>
      </c>
      <c r="W80" s="12" t="b">
        <v>0</v>
      </c>
    </row>
    <row r="81" spans="1:23" ht="13.8" customHeight="1" x14ac:dyDescent="0.3">
      <c r="A81" s="5" t="s">
        <v>80</v>
      </c>
      <c r="B81" s="7" t="s">
        <v>88</v>
      </c>
      <c r="C81" s="7" t="s">
        <v>193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8"/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0</v>
      </c>
    </row>
    <row r="82" spans="1:23" ht="14.25" customHeight="1" x14ac:dyDescent="0.3">
      <c r="A82" s="5" t="s">
        <v>80</v>
      </c>
      <c r="B82" s="7" t="s">
        <v>89</v>
      </c>
      <c r="C82" s="7" t="s">
        <v>193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8"/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0</v>
      </c>
    </row>
    <row r="83" spans="1:23" ht="14.25" customHeight="1" x14ac:dyDescent="0.3">
      <c r="A83" s="5" t="s">
        <v>80</v>
      </c>
      <c r="B83" s="7" t="s">
        <v>90</v>
      </c>
      <c r="C83" s="9" t="s">
        <v>370</v>
      </c>
      <c r="D83" s="14" t="s">
        <v>202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8"/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176</v>
      </c>
      <c r="U83" s="5" t="s">
        <v>12</v>
      </c>
      <c r="V83" s="5" t="s">
        <v>11</v>
      </c>
      <c r="W83" s="12" t="b">
        <v>0</v>
      </c>
    </row>
    <row r="84" spans="1:23" ht="14.25" customHeight="1" x14ac:dyDescent="0.3">
      <c r="A84" s="5" t="s">
        <v>80</v>
      </c>
      <c r="B84" s="7" t="s">
        <v>91</v>
      </c>
      <c r="C84" s="7" t="s">
        <v>371</v>
      </c>
      <c r="D84" s="14" t="s">
        <v>201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8"/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0</v>
      </c>
    </row>
    <row r="85" spans="1:23" ht="14.25" customHeight="1" x14ac:dyDescent="0.3">
      <c r="A85" s="5" t="s">
        <v>80</v>
      </c>
      <c r="B85" s="7" t="s">
        <v>92</v>
      </c>
      <c r="C85" s="7" t="s">
        <v>372</v>
      </c>
      <c r="D85" s="14" t="s">
        <v>201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8"/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0</v>
      </c>
    </row>
    <row r="86" spans="1:23" ht="14.25" customHeight="1" x14ac:dyDescent="0.3">
      <c r="A86" s="5" t="s">
        <v>80</v>
      </c>
      <c r="B86" s="7" t="s">
        <v>93</v>
      </c>
      <c r="C86" s="7" t="s">
        <v>373</v>
      </c>
      <c r="D86" s="14" t="s">
        <v>205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8"/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0</v>
      </c>
    </row>
    <row r="87" spans="1:23" ht="14.25" customHeight="1" x14ac:dyDescent="0.3">
      <c r="A87" s="5" t="s">
        <v>80</v>
      </c>
      <c r="B87" s="7" t="s">
        <v>94</v>
      </c>
      <c r="C87" s="7" t="s">
        <v>374</v>
      </c>
      <c r="D87" s="14" t="s">
        <v>205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8"/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0</v>
      </c>
    </row>
    <row r="88" spans="1:23" ht="14.25" customHeight="1" x14ac:dyDescent="0.3">
      <c r="A88" s="5" t="s">
        <v>80</v>
      </c>
      <c r="B88" s="7" t="s">
        <v>95</v>
      </c>
      <c r="C88" s="7" t="s">
        <v>375</v>
      </c>
      <c r="D88" s="14" t="s">
        <v>200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8"/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</row>
    <row r="89" spans="1:23" ht="14.25" customHeight="1" x14ac:dyDescent="0.3">
      <c r="A89" s="5" t="s">
        <v>80</v>
      </c>
      <c r="B89" s="7" t="s">
        <v>96</v>
      </c>
      <c r="C89" s="7" t="s">
        <v>376</v>
      </c>
      <c r="D89" s="14" t="s">
        <v>200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8"/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</row>
    <row r="90" spans="1:23" ht="14.25" customHeight="1" x14ac:dyDescent="0.3">
      <c r="A90" s="5" t="s">
        <v>80</v>
      </c>
      <c r="B90" s="7" t="s">
        <v>97</v>
      </c>
      <c r="C90" s="7" t="s">
        <v>377</v>
      </c>
      <c r="D90" s="14" t="s">
        <v>199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8"/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</row>
    <row r="91" spans="1:23" ht="14.25" customHeight="1" x14ac:dyDescent="0.3">
      <c r="A91" s="5" t="s">
        <v>80</v>
      </c>
      <c r="B91" s="7" t="s">
        <v>98</v>
      </c>
      <c r="C91" s="7" t="s">
        <v>378</v>
      </c>
      <c r="D91" s="14" t="s">
        <v>199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8"/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</row>
    <row r="92" spans="1:23" ht="14.25" customHeight="1" x14ac:dyDescent="0.3">
      <c r="A92" s="5" t="s">
        <v>80</v>
      </c>
      <c r="B92" s="7" t="s">
        <v>99</v>
      </c>
      <c r="C92" s="15" t="s">
        <v>379</v>
      </c>
      <c r="D92" s="14" t="s">
        <v>198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8"/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</row>
    <row r="93" spans="1:23" ht="14.25" customHeight="1" x14ac:dyDescent="0.3">
      <c r="A93" s="5" t="s">
        <v>80</v>
      </c>
      <c r="B93" s="7" t="s">
        <v>100</v>
      </c>
      <c r="C93" s="7" t="s">
        <v>380</v>
      </c>
      <c r="D93" s="14" t="s">
        <v>204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8"/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0</v>
      </c>
    </row>
    <row r="94" spans="1:23" ht="14.25" customHeight="1" x14ac:dyDescent="0.3">
      <c r="A94" s="5" t="s">
        <v>80</v>
      </c>
      <c r="B94" s="5" t="s">
        <v>101</v>
      </c>
      <c r="C94" s="9" t="s">
        <v>381</v>
      </c>
      <c r="D94" s="14" t="s">
        <v>199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8"/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5" t="s">
        <v>172</v>
      </c>
      <c r="U94" s="5" t="s">
        <v>12</v>
      </c>
      <c r="V94" s="5" t="s">
        <v>11</v>
      </c>
      <c r="W94" s="12" t="b">
        <v>0</v>
      </c>
    </row>
    <row r="95" spans="1:23" ht="14.25" customHeight="1" x14ac:dyDescent="0.3">
      <c r="A95" s="5" t="s">
        <v>80</v>
      </c>
      <c r="B95" s="5" t="s">
        <v>102</v>
      </c>
      <c r="C95" s="9" t="s">
        <v>382</v>
      </c>
      <c r="D95" s="14" t="s">
        <v>199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8"/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5" t="s">
        <v>173</v>
      </c>
      <c r="U95" s="5" t="s">
        <v>12</v>
      </c>
      <c r="V95" s="5" t="s">
        <v>11</v>
      </c>
      <c r="W95" s="12" t="b">
        <v>0</v>
      </c>
    </row>
    <row r="96" spans="1:23" ht="14.25" customHeight="1" x14ac:dyDescent="0.3">
      <c r="A96" s="5" t="s">
        <v>80</v>
      </c>
      <c r="B96" s="5" t="s">
        <v>103</v>
      </c>
      <c r="C96" s="15" t="s">
        <v>383</v>
      </c>
      <c r="D96" s="14" t="s">
        <v>198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8"/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5" t="s">
        <v>174</v>
      </c>
      <c r="U96" s="5" t="s">
        <v>12</v>
      </c>
      <c r="V96" s="5" t="s">
        <v>11</v>
      </c>
      <c r="W96" s="12" t="b">
        <v>0</v>
      </c>
    </row>
    <row r="97" spans="1:23" ht="14.25" customHeight="1" x14ac:dyDescent="0.3">
      <c r="A97" s="5" t="s">
        <v>80</v>
      </c>
      <c r="B97" s="5" t="s">
        <v>104</v>
      </c>
      <c r="C97" s="5" t="s">
        <v>193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8"/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 t="s">
        <v>175</v>
      </c>
      <c r="U97" s="5" t="s">
        <v>12</v>
      </c>
      <c r="V97" s="5" t="s">
        <v>11</v>
      </c>
      <c r="W97" s="12" t="b">
        <v>0</v>
      </c>
    </row>
    <row r="98" spans="1:23" ht="14.25" customHeight="1" x14ac:dyDescent="0.3">
      <c r="A98" s="9" t="s">
        <v>26</v>
      </c>
      <c r="B98" s="9" t="s">
        <v>187</v>
      </c>
      <c r="C98" s="9" t="s">
        <v>384</v>
      </c>
      <c r="D98" s="14" t="s">
        <v>199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184</v>
      </c>
      <c r="L98" s="6" t="s">
        <v>221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</row>
    <row r="99" spans="1:23" ht="14.25" customHeight="1" x14ac:dyDescent="0.3">
      <c r="A99" s="9" t="s">
        <v>26</v>
      </c>
      <c r="B99" s="9" t="s">
        <v>188</v>
      </c>
      <c r="C99" s="9" t="s">
        <v>385</v>
      </c>
      <c r="D99" s="14" t="s">
        <v>199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184</v>
      </c>
      <c r="L99" s="6" t="s">
        <v>221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</row>
    <row r="100" spans="1:23" ht="14.25" customHeight="1" x14ac:dyDescent="0.3">
      <c r="A100" s="9" t="s">
        <v>26</v>
      </c>
      <c r="B100" s="9" t="s">
        <v>189</v>
      </c>
      <c r="C100" s="9" t="s">
        <v>386</v>
      </c>
      <c r="D100" s="14" t="s">
        <v>199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184</v>
      </c>
      <c r="L100" s="6" t="s">
        <v>221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190</v>
      </c>
      <c r="S100" t="s">
        <v>12</v>
      </c>
      <c r="U100" t="s">
        <v>83</v>
      </c>
      <c r="V100" s="9" t="s">
        <v>11</v>
      </c>
      <c r="W100" s="12" t="b">
        <v>1</v>
      </c>
    </row>
    <row r="101" spans="1:23" ht="14.25" customHeight="1" x14ac:dyDescent="0.3">
      <c r="A101" s="9" t="s">
        <v>26</v>
      </c>
      <c r="B101" s="9" t="s">
        <v>191</v>
      </c>
      <c r="C101" s="9" t="s">
        <v>387</v>
      </c>
      <c r="D101" s="14" t="s">
        <v>200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184</v>
      </c>
      <c r="L101" s="6" t="s">
        <v>221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</row>
    <row r="102" spans="1:23" ht="14.25" customHeight="1" x14ac:dyDescent="0.3">
      <c r="A102" s="9" t="s">
        <v>26</v>
      </c>
      <c r="B102" s="9" t="s">
        <v>192</v>
      </c>
      <c r="C102" s="9" t="s">
        <v>388</v>
      </c>
      <c r="D102" s="14" t="s">
        <v>200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184</v>
      </c>
      <c r="L102" s="6" t="s">
        <v>221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</row>
    <row r="103" spans="1:23" ht="14.25" customHeight="1" x14ac:dyDescent="0.3">
      <c r="A103" s="9" t="s">
        <v>26</v>
      </c>
      <c r="B103" s="9" t="s">
        <v>195</v>
      </c>
      <c r="C103" s="9" t="s">
        <v>310</v>
      </c>
      <c r="D103" s="14" t="s">
        <v>199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184</v>
      </c>
      <c r="L103" s="6" t="s">
        <v>221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</row>
    <row r="104" spans="1:23" ht="14.25" customHeight="1" x14ac:dyDescent="0.3">
      <c r="A104" s="9" t="s">
        <v>26</v>
      </c>
      <c r="B104" s="9" t="s">
        <v>196</v>
      </c>
      <c r="C104" s="9" t="s">
        <v>389</v>
      </c>
      <c r="D104" s="14" t="s">
        <v>197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184</v>
      </c>
      <c r="L104" s="6" t="s">
        <v>221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0</v>
      </c>
    </row>
    <row r="105" spans="1:23" ht="14.25" customHeight="1" x14ac:dyDescent="0.3">
      <c r="A105" s="16" t="s">
        <v>26</v>
      </c>
      <c r="B105" s="16" t="s">
        <v>222</v>
      </c>
      <c r="C105" s="16" t="s">
        <v>390</v>
      </c>
      <c r="D105" s="15" t="s">
        <v>197</v>
      </c>
      <c r="E105" s="17" t="s">
        <v>140</v>
      </c>
      <c r="F105" s="16" t="s">
        <v>223</v>
      </c>
      <c r="G105" s="16" t="s">
        <v>124</v>
      </c>
      <c r="H105" s="5" t="str">
        <f t="shared" si="17"/>
        <v>0x318A</v>
      </c>
      <c r="I105" s="16">
        <f>I48+100</f>
        <v>12682</v>
      </c>
      <c r="J105" s="6" t="str">
        <f>_xlfn.CONCAT(4,I105+1)</f>
        <v>412683</v>
      </c>
      <c r="K105" s="15" t="s">
        <v>225</v>
      </c>
      <c r="L105" s="15" t="s">
        <v>219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s="18" t="s">
        <v>224</v>
      </c>
      <c r="U105" s="18" t="s">
        <v>83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8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208</v>
      </c>
      <c r="K1" t="str">
        <f>A1</f>
        <v>GP-Pro EX</v>
      </c>
    </row>
    <row r="2" spans="1:11" x14ac:dyDescent="0.3">
      <c r="A2" t="s">
        <v>209</v>
      </c>
      <c r="B2" t="s">
        <v>211</v>
      </c>
      <c r="K2" t="str">
        <f>_xlfn.CONCAT(A2,",",B2)</f>
        <v>File Type,SymbolVariable</v>
      </c>
    </row>
    <row r="3" spans="1:11" x14ac:dyDescent="0.3">
      <c r="A3" t="s">
        <v>210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220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220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220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220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220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220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220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MICT</v>
      </c>
      <c r="C27" t="str">
        <f>'Point List'!L24</f>
        <v>WordAddress</v>
      </c>
      <c r="D27" t="s">
        <v>220</v>
      </c>
      <c r="E27" t="str">
        <f>'Point List'!J24</f>
        <v>412559</v>
      </c>
      <c r="K27" t="str">
        <f t="shared" si="0"/>
        <v>MICT,,WordAddress,PLC1,412559,,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220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220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Valve_Open_Percentage</v>
      </c>
      <c r="C30" t="str">
        <f>'Point List'!L27</f>
        <v>WordAddress</v>
      </c>
      <c r="D30" t="s">
        <v>220</v>
      </c>
      <c r="E30" t="str">
        <f>'Point List'!J27</f>
        <v>412565</v>
      </c>
      <c r="K30" t="str">
        <f t="shared" si="0"/>
        <v>Valve_Open_Percentage,,WordAddress,PLC1,412565,,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220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220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220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220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>Measured_Valve_Position_</v>
      </c>
      <c r="C35" t="str">
        <f>'Point List'!L32</f>
        <v>WordAddress</v>
      </c>
      <c r="D35" t="s">
        <v>220</v>
      </c>
      <c r="E35" t="str">
        <f>'Point List'!J32</f>
        <v>412575</v>
      </c>
      <c r="K35" t="str">
        <f t="shared" si="0"/>
        <v>Measured_Valve_Position_,,WordAddress,PLC1,412575,,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220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Debounced_Water_Level_L_L_Signal</v>
      </c>
      <c r="C37">
        <f>'Point List'!L34</f>
        <v>0</v>
      </c>
      <c r="D37" t="s">
        <v>220</v>
      </c>
      <c r="E37" t="str">
        <f>'Point List'!J34</f>
        <v>012310</v>
      </c>
      <c r="K37" t="str">
        <f t="shared" si="0"/>
        <v>Debounced_Water_Level_L_L_Signal,,0,PLC1,012310,,</v>
      </c>
    </row>
    <row r="38" spans="1:11" x14ac:dyDescent="0.3">
      <c r="A38" t="str">
        <f>'Point List'!C35</f>
        <v>Debounced_Pressure_Signal</v>
      </c>
      <c r="C38">
        <f>'Point List'!L35</f>
        <v>0</v>
      </c>
      <c r="D38" t="s">
        <v>220</v>
      </c>
      <c r="E38" t="str">
        <f>'Point List'!J35</f>
        <v>012311</v>
      </c>
      <c r="K38" t="str">
        <f t="shared" si="0"/>
        <v>Debounced_Pressure_Signal,,0,PLC1,012311,,</v>
      </c>
    </row>
    <row r="39" spans="1:11" x14ac:dyDescent="0.3">
      <c r="A39" t="str">
        <f>'Point List'!C36</f>
        <v>Debounced_Conductivity_Alarm_Signal</v>
      </c>
      <c r="C39">
        <f>'Point List'!L36</f>
        <v>0</v>
      </c>
      <c r="D39" t="s">
        <v>220</v>
      </c>
      <c r="E39" t="str">
        <f>'Point List'!J36</f>
        <v>012312</v>
      </c>
      <c r="K39" t="str">
        <f t="shared" si="0"/>
        <v>Debounced_Conductivity_Alarm_Signal,,0,PLC1,012312,,</v>
      </c>
    </row>
    <row r="40" spans="1:11" x14ac:dyDescent="0.3">
      <c r="A40" t="str">
        <f>'Point List'!C37</f>
        <v>Debounced_Conductivity_Fault_Signal</v>
      </c>
      <c r="C40">
        <f>'Point List'!L37</f>
        <v>0</v>
      </c>
      <c r="D40" t="s">
        <v>220</v>
      </c>
      <c r="E40" t="str">
        <f>'Point List'!J37</f>
        <v>012313</v>
      </c>
      <c r="K40" t="str">
        <f t="shared" si="0"/>
        <v>Debounced_Conductivity_Fault_Signal,,0,PLC1,012313,,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220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Output_Water_Level_Low_Low_Signal</v>
      </c>
      <c r="C42" t="str">
        <f>'Point List'!L39</f>
        <v>BitAddress</v>
      </c>
      <c r="D42" t="s">
        <v>220</v>
      </c>
      <c r="E42" t="str">
        <f>'Point List'!J39</f>
        <v>012315</v>
      </c>
      <c r="K42" t="str">
        <f t="shared" si="0"/>
        <v>Output_Water_Level_Low_Low_Signal,,BitAddress,PLC1,012315,,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220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220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220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>
        <f>'Point List'!L43</f>
        <v>0</v>
      </c>
      <c r="D46" t="s">
        <v>220</v>
      </c>
      <c r="E46" t="str">
        <f>'Point List'!J43</f>
        <v>012453</v>
      </c>
      <c r="K46" t="str">
        <f t="shared" si="0"/>
        <v>Differential_Pump_Hours,,0,PLC1,012453,,</v>
      </c>
    </row>
    <row r="47" spans="1:11" x14ac:dyDescent="0.3">
      <c r="A47" t="str">
        <f>'Point List'!C44</f>
        <v>System_Pulse</v>
      </c>
      <c r="C47">
        <f>'Point List'!L44</f>
        <v>0</v>
      </c>
      <c r="D47" t="s">
        <v>220</v>
      </c>
      <c r="E47" t="str">
        <f>'Point List'!J44</f>
        <v>012319</v>
      </c>
      <c r="K47" t="str">
        <f t="shared" si="0"/>
        <v>System_Pulse,,0,PLC1,012319,,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220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220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220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220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220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220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220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220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220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220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220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220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220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220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220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220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220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220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220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220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220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220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220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220</v>
      </c>
      <c r="E71" t="str">
        <f>'Point List'!J68</f>
        <v>012337</v>
      </c>
      <c r="K71" t="str">
        <f t="shared" ref="K71:K107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220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220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220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220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220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220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220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220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>
        <f>'Point List'!L77</f>
        <v>0</v>
      </c>
      <c r="D80" t="s">
        <v>220</v>
      </c>
      <c r="E80" t="str">
        <f>'Point List'!J77</f>
        <v>NOT ACCESSIBLE</v>
      </c>
      <c r="K80" t="str">
        <f t="shared" si="1"/>
        <v>Conductivity_Analog,,0,PLC1,NOT ACCESSIBLE,,</v>
      </c>
    </row>
    <row r="81" spans="1:11" x14ac:dyDescent="0.3">
      <c r="A81" t="str">
        <f>'Point List'!C78</f>
        <v>RTD_1</v>
      </c>
      <c r="C81">
        <f>'Point List'!L78</f>
        <v>0</v>
      </c>
      <c r="D81" t="s">
        <v>220</v>
      </c>
      <c r="E81" t="str">
        <f>'Point List'!J78</f>
        <v>NOT ACCESSIBLE</v>
      </c>
      <c r="K81" t="str">
        <f t="shared" si="1"/>
        <v>RTD_1,,0,PLC1,NOT ACCESSIBLE,,</v>
      </c>
    </row>
    <row r="82" spans="1:11" x14ac:dyDescent="0.3">
      <c r="A82" t="str">
        <f>'Point List'!C79</f>
        <v>RTD_2</v>
      </c>
      <c r="C82">
        <f>'Point List'!L79</f>
        <v>0</v>
      </c>
      <c r="D82" t="s">
        <v>220</v>
      </c>
      <c r="E82" t="str">
        <f>'Point List'!J79</f>
        <v>NOT ACCESSIBLE</v>
      </c>
      <c r="K82" t="str">
        <f t="shared" si="1"/>
        <v>RTD_2,,0,PLC1,NOT ACCESSIBLE,,</v>
      </c>
    </row>
    <row r="83" spans="1:11" x14ac:dyDescent="0.3">
      <c r="A83" t="str">
        <f>'Point List'!C80</f>
        <v>RTD_3</v>
      </c>
      <c r="C83">
        <f>'Point List'!L80</f>
        <v>0</v>
      </c>
      <c r="D83" t="s">
        <v>220</v>
      </c>
      <c r="E83" t="str">
        <f>'Point List'!J80</f>
        <v>NOT ACCESSIBLE</v>
      </c>
      <c r="K83" t="str">
        <f t="shared" si="1"/>
        <v>RTD_3,,0,PLC1,NOT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220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220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Flow_Analog</v>
      </c>
      <c r="C86">
        <f>'Point List'!L83</f>
        <v>0</v>
      </c>
      <c r="D86" t="s">
        <v>220</v>
      </c>
      <c r="E86" t="str">
        <f>'Point List'!J83</f>
        <v>NOT ACCESSIBLE</v>
      </c>
      <c r="K86" t="str">
        <f t="shared" si="1"/>
        <v>Flow_Analog,,0,PLC1,NOT ACCESSIBLE,,</v>
      </c>
    </row>
    <row r="87" spans="1:11" x14ac:dyDescent="0.3">
      <c r="A87" t="str">
        <f>'Point List'!C84</f>
        <v>Conductivity_Alarm</v>
      </c>
      <c r="C87">
        <f>'Point List'!L84</f>
        <v>0</v>
      </c>
      <c r="D87" t="s">
        <v>220</v>
      </c>
      <c r="E87" t="str">
        <f>'Point List'!J84</f>
        <v>NOT ACCESSIBLE</v>
      </c>
      <c r="K87" t="str">
        <f t="shared" si="1"/>
        <v>Conductivity_Alarm,,0,PLC1,NOT ACCESSIBLE,,</v>
      </c>
    </row>
    <row r="88" spans="1:11" x14ac:dyDescent="0.3">
      <c r="A88" t="str">
        <f>'Point List'!C85</f>
        <v>Conductivity_Fault</v>
      </c>
      <c r="C88">
        <f>'Point List'!L85</f>
        <v>0</v>
      </c>
      <c r="D88" t="s">
        <v>220</v>
      </c>
      <c r="E88" t="str">
        <f>'Point List'!J85</f>
        <v>NOT ACCESSIBLE</v>
      </c>
      <c r="K88" t="str">
        <f t="shared" si="1"/>
        <v>Conductivity_Fault,,0,PLC1,NOT ACCESSIBLE,,</v>
      </c>
    </row>
    <row r="89" spans="1:11" x14ac:dyDescent="0.3">
      <c r="A89" t="str">
        <f>'Point List'!C86</f>
        <v>Level_Low_Switch</v>
      </c>
      <c r="C89">
        <f>'Point List'!L86</f>
        <v>0</v>
      </c>
      <c r="D89" t="s">
        <v>220</v>
      </c>
      <c r="E89" t="str">
        <f>'Point List'!J86</f>
        <v>NOT ACCESSIBLE</v>
      </c>
      <c r="K89" t="str">
        <f t="shared" si="1"/>
        <v>Level_Low_Switch,,0,PLC1,NOT ACCESSIBLE,,</v>
      </c>
    </row>
    <row r="90" spans="1:11" x14ac:dyDescent="0.3">
      <c r="A90" t="str">
        <f>'Point List'!C87</f>
        <v>Level_Low_Low_Switch</v>
      </c>
      <c r="C90">
        <f>'Point List'!L87</f>
        <v>0</v>
      </c>
      <c r="D90" t="s">
        <v>220</v>
      </c>
      <c r="E90" t="str">
        <f>'Point List'!J87</f>
        <v>NOT ACCESSIBLE</v>
      </c>
      <c r="K90" t="str">
        <f t="shared" si="1"/>
        <v>Level_Low_Low_Switch,,0,PLC1,NOT ACCESSIBLE,,</v>
      </c>
    </row>
    <row r="91" spans="1:11" x14ac:dyDescent="0.3">
      <c r="A91" t="str">
        <f>'Point List'!C88</f>
        <v>Fan_1_Enable</v>
      </c>
      <c r="C91">
        <f>'Point List'!L88</f>
        <v>0</v>
      </c>
      <c r="D91" t="s">
        <v>220</v>
      </c>
      <c r="E91" t="str">
        <f>'Point List'!J88</f>
        <v>NOT ACCESSIBLE</v>
      </c>
      <c r="K91" t="str">
        <f t="shared" si="1"/>
        <v>Fan_1_Enable,,0,PLC1,NOT ACCESSIBLE,,</v>
      </c>
    </row>
    <row r="92" spans="1:11" x14ac:dyDescent="0.3">
      <c r="A92" t="str">
        <f>'Point List'!C89</f>
        <v>Fan_2_Enable</v>
      </c>
      <c r="C92">
        <f>'Point List'!L89</f>
        <v>0</v>
      </c>
      <c r="D92" t="s">
        <v>220</v>
      </c>
      <c r="E92" t="str">
        <f>'Point List'!J89</f>
        <v>NOT ACCESSIBLE</v>
      </c>
      <c r="K92" t="str">
        <f t="shared" si="1"/>
        <v>Fan_2_Enable,,0,PLC1,NOT ACCESSIBLE,,</v>
      </c>
    </row>
    <row r="93" spans="1:11" x14ac:dyDescent="0.3">
      <c r="A93" t="str">
        <f>'Point List'!C90</f>
        <v>Pump_1_Enable</v>
      </c>
      <c r="C93">
        <f>'Point List'!L90</f>
        <v>0</v>
      </c>
      <c r="D93" t="s">
        <v>220</v>
      </c>
      <c r="E93" t="str">
        <f>'Point List'!J90</f>
        <v>NOT ACCESSIBLE</v>
      </c>
      <c r="K93" t="str">
        <f t="shared" si="1"/>
        <v>Pump_1_Enable,,0,PLC1,NOT ACCESSIBLE,,</v>
      </c>
    </row>
    <row r="94" spans="1:11" x14ac:dyDescent="0.3">
      <c r="A94" t="str">
        <f>'Point List'!C91</f>
        <v>Pump_2_Enable</v>
      </c>
      <c r="C94">
        <f>'Point List'!L91</f>
        <v>0</v>
      </c>
      <c r="D94" t="s">
        <v>220</v>
      </c>
      <c r="E94" t="str">
        <f>'Point List'!J91</f>
        <v>NOT ACCESSIBLE</v>
      </c>
      <c r="K94" t="str">
        <f t="shared" si="1"/>
        <v>Pump_2_Enable,,0,PLC1,NOT ACCESSIBLE,,</v>
      </c>
    </row>
    <row r="95" spans="1:11" x14ac:dyDescent="0.3">
      <c r="A95" t="str">
        <f>'Point List'!C92</f>
        <v>Valve_Actuation_Signal</v>
      </c>
      <c r="C95">
        <f>'Point List'!L92</f>
        <v>0</v>
      </c>
      <c r="D95" t="s">
        <v>220</v>
      </c>
      <c r="E95" t="str">
        <f>'Point List'!J92</f>
        <v>NOT ACCESSIBLE</v>
      </c>
      <c r="K95" t="str">
        <f t="shared" si="1"/>
        <v>Valve_Actuation_Signal,,0,PLC1,NOT ACCESSIBLE,,</v>
      </c>
    </row>
    <row r="96" spans="1:11" x14ac:dyDescent="0.3">
      <c r="A96" t="str">
        <f>'Point List'!C93</f>
        <v>Pressure_Switch_Signal</v>
      </c>
      <c r="C96">
        <f>'Point List'!L93</f>
        <v>0</v>
      </c>
      <c r="D96" t="s">
        <v>220</v>
      </c>
      <c r="E96" t="str">
        <f>'Point List'!J93</f>
        <v>NOT ACCESSIBLE</v>
      </c>
      <c r="K96" t="str">
        <f t="shared" si="1"/>
        <v>Pressure_Switch_Signal,,0,PLC1,NOT ACCESSIBLE,,</v>
      </c>
    </row>
    <row r="97" spans="1:11" x14ac:dyDescent="0.3">
      <c r="A97" t="str">
        <f>'Point List'!C94</f>
        <v>Active_Pump__Current</v>
      </c>
      <c r="C97">
        <f>'Point List'!L94</f>
        <v>0</v>
      </c>
      <c r="D97" t="s">
        <v>220</v>
      </c>
      <c r="E97" t="str">
        <f>'Point List'!J94</f>
        <v>NOT ACCESSIBLE</v>
      </c>
      <c r="K97" t="str">
        <f t="shared" si="1"/>
        <v>Active_Pump__Current,,0,PLC1,NOT ACCESSIBLE,,</v>
      </c>
    </row>
    <row r="98" spans="1:11" x14ac:dyDescent="0.3">
      <c r="A98" t="str">
        <f>'Point List'!C95</f>
        <v>Active_Pump__Voltage</v>
      </c>
      <c r="C98">
        <f>'Point List'!L95</f>
        <v>0</v>
      </c>
      <c r="D98" t="s">
        <v>220</v>
      </c>
      <c r="E98" t="str">
        <f>'Point List'!J95</f>
        <v>NOT ACCESSIBLE</v>
      </c>
      <c r="K98" t="str">
        <f t="shared" si="1"/>
        <v>Active_Pump__Voltage,,0,PLC1,NOT ACCESSIBLE,,</v>
      </c>
    </row>
    <row r="99" spans="1:11" x14ac:dyDescent="0.3">
      <c r="A99" t="str">
        <f>'Point List'!C96</f>
        <v>Valve_Feedback_Signal</v>
      </c>
      <c r="C99">
        <f>'Point List'!L96</f>
        <v>0</v>
      </c>
      <c r="D99" t="s">
        <v>220</v>
      </c>
      <c r="E99" t="str">
        <f>'Point List'!J96</f>
        <v>NOT ACCESSIBLE</v>
      </c>
      <c r="K99" t="str">
        <f t="shared" si="1"/>
        <v>Valve_Feedback_Signal,,0,PLC1,NOT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220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220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220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220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220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220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Enable_Pump_Cycling</v>
      </c>
      <c r="C106" t="str">
        <f>'Point List'!L103</f>
        <v>BitAddress</v>
      </c>
      <c r="D106" t="s">
        <v>220</v>
      </c>
      <c r="E106" t="str">
        <f>'Point List'!J103</f>
        <v>012351</v>
      </c>
      <c r="K106" t="str">
        <f t="shared" si="1"/>
        <v>Enable_Pump_Cycling,,BitAddress,PLC1,012351,,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220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220</v>
      </c>
      <c r="E108" t="str">
        <f>'Point List'!J105</f>
        <v>412683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220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220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220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220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220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220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220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220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220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220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220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220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220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220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220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220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220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220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220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220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220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220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220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220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220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220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220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220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220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220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220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220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220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220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220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220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220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220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220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220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220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220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220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220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220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220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220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220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220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220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220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220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220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220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220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220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220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220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220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220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220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220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220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220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220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220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220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220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220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220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220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220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220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220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220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220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220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220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220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220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220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220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220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220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220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220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162"/>
  <sheetViews>
    <sheetView topLeftCell="A25" workbookViewId="0">
      <selection activeCell="A35" sqref="A35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208</v>
      </c>
      <c r="K1" t="str">
        <f>"""" &amp; A1 &amp; """"</f>
        <v>"GP-Pro EX"</v>
      </c>
      <c r="O1" t="s">
        <v>228</v>
      </c>
    </row>
    <row r="2" spans="1:15" x14ac:dyDescent="0.3">
      <c r="A2" t="s">
        <v>209</v>
      </c>
      <c r="B2" t="s">
        <v>211</v>
      </c>
      <c r="K2" t="str">
        <f>_xlfn.CONCAT(""""&amp;A2&amp;"""",",",""""&amp;B2&amp;"""")</f>
        <v>"File Type","SymbolVariable"</v>
      </c>
      <c r="O2" t="s">
        <v>229</v>
      </c>
    </row>
    <row r="3" spans="1:15" x14ac:dyDescent="0.3">
      <c r="A3" t="s">
        <v>210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230</v>
      </c>
    </row>
    <row r="5" spans="1:15" x14ac:dyDescent="0.3">
      <c r="A5" t="s">
        <v>2</v>
      </c>
      <c r="B5" t="s">
        <v>212</v>
      </c>
      <c r="C5" t="s">
        <v>213</v>
      </c>
      <c r="D5" t="s">
        <v>214</v>
      </c>
      <c r="E5" t="s">
        <v>215</v>
      </c>
      <c r="F5" t="s">
        <v>216</v>
      </c>
      <c r="G5" t="s">
        <v>217</v>
      </c>
      <c r="K5" t="str">
        <f>_xlfn.CONCAT(""""&amp;A5&amp;"""",",",""""&amp;B5&amp;"""",",",""""&amp;C5&amp;"""",",",""""&amp;D5&amp;"""",",",""""&amp;E5&amp;"""",",",""""&amp;F5&amp;"""",",",""""&amp;G5&amp;"""")</f>
        <v>"Name","Index","Type","External/Internal","Address","Keep","Comment"</v>
      </c>
      <c r="O5" t="s">
        <v>226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220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227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220</v>
      </c>
      <c r="E7" t="str">
        <f>'Point List'!J4</f>
        <v>012290</v>
      </c>
      <c r="K7" t="str">
        <f t="shared" ref="K7:K59" si="0">_xlfn.CONCAT(A7,",",B7,",",C7,",",D7,",",E7,",",F7,",",G7)</f>
        <v>System_Shutdown,,BitAddress,PLC1,012290,,</v>
      </c>
      <c r="O7" t="s">
        <v>231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220</v>
      </c>
      <c r="E8" t="str">
        <f>'Point List'!J5</f>
        <v>012291</v>
      </c>
      <c r="K8" t="str">
        <f t="shared" si="0"/>
        <v>Simplex_Mode,,BitAddress,PLC1,012291,,</v>
      </c>
      <c r="O8" t="s">
        <v>232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220</v>
      </c>
      <c r="E9" t="str">
        <f>'Point List'!J6</f>
        <v>012292</v>
      </c>
      <c r="K9" t="str">
        <f t="shared" si="0"/>
        <v>Manual_Turnover,,BitAddress,PLC1,012292,,</v>
      </c>
      <c r="O9" t="s">
        <v>233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220</v>
      </c>
      <c r="E10" t="str">
        <f>'Point List'!J7</f>
        <v>012293</v>
      </c>
      <c r="K10" t="str">
        <f t="shared" si="0"/>
        <v>Enable_Manual_Valve_Control,,BitAddress,PLC1,012293,,</v>
      </c>
      <c r="O10" t="s">
        <v>234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220</v>
      </c>
      <c r="E11" t="str">
        <f>'Point List'!J8</f>
        <v>012294</v>
      </c>
      <c r="K11" t="str">
        <f t="shared" si="0"/>
        <v>Enable_Manual_Fan_Control,,BitAddress,PLC1,012294,,</v>
      </c>
      <c r="O11" t="s">
        <v>235</v>
      </c>
    </row>
    <row r="12" spans="1:15" x14ac:dyDescent="0.3">
      <c r="A12" t="str">
        <f>'Point List'!C9</f>
        <v>AVAILABLE</v>
      </c>
      <c r="C12" t="str">
        <f>'Point List'!L9</f>
        <v>BitAddress</v>
      </c>
      <c r="D12" t="s">
        <v>220</v>
      </c>
      <c r="E12" t="str">
        <f>'Point List'!J9</f>
        <v>012295</v>
      </c>
      <c r="K12" t="str">
        <f t="shared" si="0"/>
        <v>AVAILABLE,,BitAddress,PLC1,012295,,</v>
      </c>
      <c r="O12" t="s">
        <v>236</v>
      </c>
    </row>
    <row r="13" spans="1:15" x14ac:dyDescent="0.3">
      <c r="A13" t="str">
        <f>'Point List'!C10</f>
        <v>Force_Fan_1_On_Off</v>
      </c>
      <c r="C13" t="str">
        <f>'Point List'!L10</f>
        <v>BitAddress</v>
      </c>
      <c r="D13" t="s">
        <v>220</v>
      </c>
      <c r="E13" t="str">
        <f>'Point List'!J10</f>
        <v>012296</v>
      </c>
      <c r="K13" t="str">
        <f t="shared" si="0"/>
        <v>Force_Fan_1_On_Off,,BitAddress,PLC1,012296,,</v>
      </c>
      <c r="O13" t="s">
        <v>237</v>
      </c>
    </row>
    <row r="14" spans="1:15" x14ac:dyDescent="0.3">
      <c r="A14" t="str">
        <f>'Point List'!C11</f>
        <v>Force_Fan_2_On_Off</v>
      </c>
      <c r="C14" t="str">
        <f>'Point List'!L11</f>
        <v>BitAddress</v>
      </c>
      <c r="D14" t="s">
        <v>220</v>
      </c>
      <c r="E14" t="str">
        <f>'Point List'!J11</f>
        <v>012297</v>
      </c>
      <c r="K14" t="str">
        <f t="shared" si="0"/>
        <v>Force_Fan_2_On_Off,,BitAddress,PLC1,012297,,</v>
      </c>
      <c r="O14" t="s">
        <v>238</v>
      </c>
    </row>
    <row r="15" spans="1:15" x14ac:dyDescent="0.3">
      <c r="A15" t="str">
        <f>'Point List'!C12</f>
        <v>Primary_Hydraulic_Fault_ACK</v>
      </c>
      <c r="C15" t="str">
        <f>'Point List'!L12</f>
        <v>BitAddress</v>
      </c>
      <c r="D15" t="s">
        <v>220</v>
      </c>
      <c r="E15" t="str">
        <f>'Point List'!J12</f>
        <v>012298</v>
      </c>
      <c r="K15" t="str">
        <f t="shared" si="0"/>
        <v>Primary_Hydraulic_Fault_ACK,,BitAddress,PLC1,012298,,</v>
      </c>
      <c r="O15" t="s">
        <v>239</v>
      </c>
    </row>
    <row r="16" spans="1:15" x14ac:dyDescent="0.3">
      <c r="A16" t="str">
        <f>'Point List'!C13</f>
        <v>Secondary_Hydraulic_Fault_ACK</v>
      </c>
      <c r="C16" t="str">
        <f>'Point List'!L13</f>
        <v>BitAddress</v>
      </c>
      <c r="D16" t="s">
        <v>220</v>
      </c>
      <c r="E16" t="str">
        <f>'Point List'!J13</f>
        <v>012299</v>
      </c>
      <c r="K16" t="str">
        <f t="shared" si="0"/>
        <v>Secondary_Hydraulic_Fault_ACK,,BitAddress,PLC1,012299,,</v>
      </c>
      <c r="O16" t="s">
        <v>240</v>
      </c>
    </row>
    <row r="17" spans="1:15" x14ac:dyDescent="0.3">
      <c r="A17" t="str">
        <f>'Point List'!C14</f>
        <v>Enable_Pump_Cycling</v>
      </c>
      <c r="C17" t="str">
        <f>'Point List'!L14</f>
        <v>BitAddress</v>
      </c>
      <c r="D17" t="s">
        <v>220</v>
      </c>
      <c r="E17" t="str">
        <f>'Point List'!J14</f>
        <v>012300</v>
      </c>
      <c r="K17" t="str">
        <f t="shared" si="0"/>
        <v>Enable_Pump_Cycling,,BitAddress,PLC1,012300,,</v>
      </c>
      <c r="O17" t="s">
        <v>241</v>
      </c>
    </row>
    <row r="18" spans="1:15" x14ac:dyDescent="0.3">
      <c r="A18" t="str">
        <f>'Point List'!C15</f>
        <v>Reset_Pump_Differential_Signal</v>
      </c>
      <c r="C18" t="str">
        <f>'Point List'!L15</f>
        <v>BitAddress</v>
      </c>
      <c r="D18" t="s">
        <v>220</v>
      </c>
      <c r="E18" t="str">
        <f>'Point List'!J15</f>
        <v>012301</v>
      </c>
      <c r="K18" t="str">
        <f t="shared" si="0"/>
        <v>Reset_Pump_Differential_Signal,,BitAddress,PLC1,012301,,</v>
      </c>
      <c r="O18" t="s">
        <v>242</v>
      </c>
    </row>
    <row r="19" spans="1:15" x14ac:dyDescent="0.3">
      <c r="A19" t="str">
        <f>'Point List'!C16</f>
        <v>Fault_ACK</v>
      </c>
      <c r="C19" t="str">
        <f>'Point List'!L16</f>
        <v>BitAddress</v>
      </c>
      <c r="D19" t="s">
        <v>220</v>
      </c>
      <c r="E19" t="str">
        <f>'Point List'!J16</f>
        <v>012302</v>
      </c>
      <c r="K19" t="str">
        <f t="shared" si="0"/>
        <v>Fault_ACK,,BitAddress,PLC1,012302,,</v>
      </c>
      <c r="O19" t="s">
        <v>243</v>
      </c>
    </row>
    <row r="20" spans="1:15" x14ac:dyDescent="0.3">
      <c r="A20" t="str">
        <f>'Point List'!C19</f>
        <v>System_On</v>
      </c>
      <c r="C20" t="str">
        <f>'Point List'!L19</f>
        <v>BitAddress</v>
      </c>
      <c r="D20" t="s">
        <v>220</v>
      </c>
      <c r="E20" t="str">
        <f>'Point List'!J19</f>
        <v>012305</v>
      </c>
      <c r="K20" t="str">
        <f t="shared" si="0"/>
        <v>System_On,,BitAddress,PLC1,012305,,</v>
      </c>
      <c r="O20" t="s">
        <v>244</v>
      </c>
    </row>
    <row r="21" spans="1:15" x14ac:dyDescent="0.3">
      <c r="A21" t="str">
        <f>'Point List'!C20</f>
        <v>System_Shutting_Down</v>
      </c>
      <c r="C21" t="str">
        <f>'Point List'!L20</f>
        <v>BitAddress</v>
      </c>
      <c r="D21" t="s">
        <v>220</v>
      </c>
      <c r="E21" t="str">
        <f>'Point List'!J20</f>
        <v>012306</v>
      </c>
      <c r="K21" t="str">
        <f t="shared" si="0"/>
        <v>System_Shutting_Down,,BitAddress,PLC1,012306,,</v>
      </c>
      <c r="O21" t="s">
        <v>245</v>
      </c>
    </row>
    <row r="22" spans="1:15" x14ac:dyDescent="0.3">
      <c r="A22" t="str">
        <f>'Point List'!C21</f>
        <v>System_Initializing</v>
      </c>
      <c r="C22" t="str">
        <f>'Point List'!L21</f>
        <v>BitAddress</v>
      </c>
      <c r="D22" t="s">
        <v>220</v>
      </c>
      <c r="E22" t="str">
        <f>'Point List'!J21</f>
        <v>012307</v>
      </c>
      <c r="K22" t="str">
        <f t="shared" si="0"/>
        <v>System_Initializing,,BitAddress,PLC1,012307,,</v>
      </c>
      <c r="O22" t="s">
        <v>246</v>
      </c>
    </row>
    <row r="23" spans="1:15" x14ac:dyDescent="0.3">
      <c r="A23" t="str">
        <f>'Point List'!C22</f>
        <v>System_Calibrating</v>
      </c>
      <c r="C23" t="str">
        <f>'Point List'!L22</f>
        <v>BitAddress</v>
      </c>
      <c r="D23" t="s">
        <v>220</v>
      </c>
      <c r="E23" t="str">
        <f>'Point List'!J22</f>
        <v>012308</v>
      </c>
      <c r="K23" t="str">
        <f t="shared" si="0"/>
        <v>System_Calibrating,,BitAddress,PLC1,012308,,</v>
      </c>
      <c r="O23" t="s">
        <v>247</v>
      </c>
    </row>
    <row r="24" spans="1:15" x14ac:dyDescent="0.3">
      <c r="A24" t="str">
        <f>'Point List'!C23</f>
        <v>Measured_Pump_Power</v>
      </c>
      <c r="C24" t="str">
        <f>'Point List'!L23</f>
        <v>WordAddress</v>
      </c>
      <c r="D24" t="s">
        <v>220</v>
      </c>
      <c r="E24" t="str">
        <f>'Point List'!J23</f>
        <v>412557</v>
      </c>
      <c r="K24" t="str">
        <f t="shared" si="0"/>
        <v>Measured_Pump_Power,,WordAddress,PLC1,412557,,</v>
      </c>
      <c r="O24" t="s">
        <v>248</v>
      </c>
    </row>
    <row r="25" spans="1:15" x14ac:dyDescent="0.3">
      <c r="A25" t="str">
        <f>'Point List'!C24</f>
        <v>MICT</v>
      </c>
      <c r="C25" t="str">
        <f>'Point List'!L24</f>
        <v>WordAddress</v>
      </c>
      <c r="D25" t="s">
        <v>220</v>
      </c>
      <c r="E25" t="str">
        <f>'Point List'!J24</f>
        <v>412559</v>
      </c>
      <c r="K25" t="str">
        <f t="shared" si="0"/>
        <v>MICT,,WordAddress,PLC1,412559,,</v>
      </c>
      <c r="O25" t="s">
        <v>249</v>
      </c>
    </row>
    <row r="26" spans="1:15" x14ac:dyDescent="0.3">
      <c r="A26" t="str">
        <f>'Point List'!C25</f>
        <v>Measured_Conductivity</v>
      </c>
      <c r="C26" t="str">
        <f>'Point List'!L25</f>
        <v>WordAddress</v>
      </c>
      <c r="D26" t="s">
        <v>220</v>
      </c>
      <c r="E26" t="str">
        <f>'Point List'!J25</f>
        <v>412561</v>
      </c>
      <c r="K26" t="str">
        <f t="shared" si="0"/>
        <v>Measured_Conductivity,,WordAddress,PLC1,412561,,</v>
      </c>
      <c r="O26" t="s">
        <v>250</v>
      </c>
    </row>
    <row r="27" spans="1:15" x14ac:dyDescent="0.3">
      <c r="A27" t="str">
        <f>'Point List'!C26</f>
        <v>Measured_Flow</v>
      </c>
      <c r="C27" t="str">
        <f>'Point List'!L26</f>
        <v>WordAddress</v>
      </c>
      <c r="D27" t="s">
        <v>220</v>
      </c>
      <c r="E27" t="str">
        <f>'Point List'!J26</f>
        <v>412563</v>
      </c>
      <c r="K27" t="str">
        <f t="shared" si="0"/>
        <v>Measured_Flow,,WordAddress,PLC1,412563,,</v>
      </c>
      <c r="O27" t="s">
        <v>251</v>
      </c>
    </row>
    <row r="28" spans="1:15" x14ac:dyDescent="0.3">
      <c r="A28" t="str">
        <f>'Point List'!C27</f>
        <v>Valve_Open_Percentage</v>
      </c>
      <c r="C28" t="str">
        <f>'Point List'!L27</f>
        <v>WordAddress</v>
      </c>
      <c r="D28" t="s">
        <v>220</v>
      </c>
      <c r="E28" t="str">
        <f>'Point List'!J27</f>
        <v>412565</v>
      </c>
      <c r="K28" t="str">
        <f t="shared" si="0"/>
        <v>Valve_Open_Percentage,,WordAddress,PLC1,412565,,</v>
      </c>
      <c r="O28" t="s">
        <v>252</v>
      </c>
    </row>
    <row r="29" spans="1:15" x14ac:dyDescent="0.3">
      <c r="A29" t="str">
        <f>'Point List'!C28</f>
        <v>Real_RTD_1_Signal</v>
      </c>
      <c r="C29" t="str">
        <f>'Point List'!L28</f>
        <v>WordAddress</v>
      </c>
      <c r="D29" t="s">
        <v>220</v>
      </c>
      <c r="E29" t="str">
        <f>'Point List'!J28</f>
        <v>412567</v>
      </c>
      <c r="K29" t="str">
        <f t="shared" si="0"/>
        <v>Real_RTD_1_Signal,,WordAddress,PLC1,412567,,</v>
      </c>
      <c r="O29" t="s">
        <v>253</v>
      </c>
    </row>
    <row r="30" spans="1:15" x14ac:dyDescent="0.3">
      <c r="A30" t="str">
        <f>'Point List'!C29</f>
        <v>Real_RTD_2_Signal</v>
      </c>
      <c r="C30" t="str">
        <f>'Point List'!L29</f>
        <v>WordAddress</v>
      </c>
      <c r="D30" t="s">
        <v>220</v>
      </c>
      <c r="E30" t="str">
        <f>'Point List'!J29</f>
        <v>412569</v>
      </c>
      <c r="K30" t="str">
        <f t="shared" si="0"/>
        <v>Real_RTD_2_Signal,,WordAddress,PLC1,412569,,</v>
      </c>
      <c r="O30" t="s">
        <v>254</v>
      </c>
    </row>
    <row r="31" spans="1:15" x14ac:dyDescent="0.3">
      <c r="A31" t="str">
        <f>'Point List'!C30</f>
        <v>Real_RTD_3_Signal</v>
      </c>
      <c r="C31" t="str">
        <f>'Point List'!L30</f>
        <v>WordAddress</v>
      </c>
      <c r="D31" t="s">
        <v>220</v>
      </c>
      <c r="E31" t="str">
        <f>'Point List'!J30</f>
        <v>412571</v>
      </c>
      <c r="K31" t="str">
        <f t="shared" si="0"/>
        <v>Real_RTD_3_Signal,,WordAddress,PLC1,412571,,</v>
      </c>
      <c r="O31" t="s">
        <v>255</v>
      </c>
    </row>
    <row r="32" spans="1:15" x14ac:dyDescent="0.3">
      <c r="A32" t="str">
        <f>'Point List'!C32</f>
        <v>Measured_Valve_Position_</v>
      </c>
      <c r="C32" t="str">
        <f>'Point List'!L32</f>
        <v>WordAddress</v>
      </c>
      <c r="D32" t="s">
        <v>220</v>
      </c>
      <c r="E32" t="str">
        <f>'Point List'!J32</f>
        <v>412575</v>
      </c>
      <c r="K32" t="str">
        <f t="shared" si="0"/>
        <v>Measured_Valve_Position_,,WordAddress,PLC1,412575,,</v>
      </c>
      <c r="O32" t="s">
        <v>256</v>
      </c>
    </row>
    <row r="33" spans="1:15" x14ac:dyDescent="0.3">
      <c r="A33" t="str">
        <f>'Point List'!C33</f>
        <v>Debounced_Water_Level_Low_Signal</v>
      </c>
      <c r="C33" t="str">
        <f>'Point List'!L33</f>
        <v>WordAddress</v>
      </c>
      <c r="D33" t="s">
        <v>220</v>
      </c>
      <c r="E33" t="str">
        <f>'Point List'!J33</f>
        <v>012309</v>
      </c>
      <c r="K33" t="str">
        <f t="shared" si="0"/>
        <v>Debounced_Water_Level_Low_Signal,,WordAddress,PLC1,012309,,</v>
      </c>
      <c r="O33" t="s">
        <v>257</v>
      </c>
    </row>
    <row r="34" spans="1:15" x14ac:dyDescent="0.3">
      <c r="A34" t="str">
        <f>'Point List'!C38</f>
        <v>Output_Water_Level_Low_Signal</v>
      </c>
      <c r="C34" t="str">
        <f>'Point List'!L38</f>
        <v>BitAddress</v>
      </c>
      <c r="D34" t="s">
        <v>220</v>
      </c>
      <c r="E34" t="str">
        <f>'Point List'!J38</f>
        <v>012314</v>
      </c>
      <c r="K34" t="str">
        <f t="shared" si="0"/>
        <v>Output_Water_Level_Low_Signal,,BitAddress,PLC1,012314,,</v>
      </c>
      <c r="O34" t="s">
        <v>258</v>
      </c>
    </row>
    <row r="35" spans="1:15" x14ac:dyDescent="0.3">
      <c r="A35" t="str">
        <f>'Point List'!C39</f>
        <v>Output_Water_Level_Low_Low_Signal</v>
      </c>
      <c r="C35" t="str">
        <f>'Point List'!L39</f>
        <v>BitAddress</v>
      </c>
      <c r="D35" t="s">
        <v>220</v>
      </c>
      <c r="E35" t="str">
        <f>'Point List'!J39</f>
        <v>012315</v>
      </c>
      <c r="K35" t="str">
        <f t="shared" si="0"/>
        <v>Output_Water_Level_Low_Low_Signal,,BitAddress,PLC1,012315,,</v>
      </c>
      <c r="O35" t="s">
        <v>259</v>
      </c>
    </row>
    <row r="36" spans="1:15" x14ac:dyDescent="0.3">
      <c r="A36" t="str">
        <f>'Point List'!C40</f>
        <v>Output_Pressure_Signal</v>
      </c>
      <c r="C36" t="str">
        <f>'Point List'!L40</f>
        <v>BitAddress</v>
      </c>
      <c r="D36" t="s">
        <v>220</v>
      </c>
      <c r="E36" t="str">
        <f>'Point List'!J40</f>
        <v>012316</v>
      </c>
      <c r="K36" t="str">
        <f t="shared" si="0"/>
        <v>Output_Pressure_Signal,,BitAddress,PLC1,012316,,</v>
      </c>
      <c r="O36" t="s">
        <v>260</v>
      </c>
    </row>
    <row r="37" spans="1:15" x14ac:dyDescent="0.3">
      <c r="A37" t="str">
        <f>'Point List'!C41</f>
        <v>Output_Conductivity_Alarm_Signal</v>
      </c>
      <c r="C37" t="str">
        <f>'Point List'!L41</f>
        <v>BitAddress</v>
      </c>
      <c r="D37" t="s">
        <v>220</v>
      </c>
      <c r="E37" t="str">
        <f>'Point List'!J41</f>
        <v>012317</v>
      </c>
      <c r="K37" t="str">
        <f t="shared" si="0"/>
        <v>Output_Conductivity_Alarm_Signal,,BitAddress,PLC1,012317,,</v>
      </c>
      <c r="O37" t="s">
        <v>261</v>
      </c>
    </row>
    <row r="38" spans="1:15" x14ac:dyDescent="0.3">
      <c r="A38" t="str">
        <f>'Point List'!C42</f>
        <v>Output_Conductivity_Fault_Signal</v>
      </c>
      <c r="C38" t="str">
        <f>'Point List'!L42</f>
        <v>BitAddress</v>
      </c>
      <c r="D38" t="s">
        <v>220</v>
      </c>
      <c r="E38" t="str">
        <f>'Point List'!J42</f>
        <v>012318</v>
      </c>
      <c r="K38" t="str">
        <f t="shared" si="0"/>
        <v>Output_Conductivity_Fault_Signal,,BitAddress,PLC1,012318,,</v>
      </c>
      <c r="O38" t="s">
        <v>262</v>
      </c>
    </row>
    <row r="39" spans="1:15" x14ac:dyDescent="0.3">
      <c r="A39" t="str">
        <f>'Point List'!C45</f>
        <v>Measured_Active_Pump__Voltage</v>
      </c>
      <c r="C39" t="str">
        <f>'Point List'!L45</f>
        <v>WordAddress</v>
      </c>
      <c r="D39" t="s">
        <v>220</v>
      </c>
      <c r="E39" t="str">
        <f>'Point List'!J45</f>
        <v>412577</v>
      </c>
      <c r="K39" t="str">
        <f t="shared" si="0"/>
        <v>Measured_Active_Pump__Voltage,,WordAddress,PLC1,412577,,</v>
      </c>
      <c r="O39" t="s">
        <v>263</v>
      </c>
    </row>
    <row r="40" spans="1:15" x14ac:dyDescent="0.3">
      <c r="A40" t="str">
        <f>'Point List'!C46</f>
        <v>Measured_Active_Pump__Current</v>
      </c>
      <c r="C40" t="str">
        <f>'Point List'!L46</f>
        <v>WordAddress</v>
      </c>
      <c r="D40" t="s">
        <v>220</v>
      </c>
      <c r="E40" t="str">
        <f>'Point List'!J46</f>
        <v>412579</v>
      </c>
      <c r="K40" t="str">
        <f t="shared" si="0"/>
        <v>Measured_Active_Pump__Current,,WordAddress,PLC1,412579,,</v>
      </c>
      <c r="O40" t="s">
        <v>264</v>
      </c>
    </row>
    <row r="41" spans="1:15" x14ac:dyDescent="0.3">
      <c r="A41" t="str">
        <f>'Point List'!C49</f>
        <v>Pump_1_Total_Hours</v>
      </c>
      <c r="C41" t="str">
        <f>'Point List'!L49</f>
        <v>WordAddress</v>
      </c>
      <c r="D41" t="s">
        <v>220</v>
      </c>
      <c r="E41" t="str">
        <f>'Point List'!J49</f>
        <v>412455</v>
      </c>
      <c r="K41" t="str">
        <f t="shared" si="0"/>
        <v>Pump_1_Total_Hours,,WordAddress,PLC1,412455,,</v>
      </c>
      <c r="O41" t="s">
        <v>265</v>
      </c>
    </row>
    <row r="42" spans="1:15" x14ac:dyDescent="0.3">
      <c r="A42" t="str">
        <f>'Point List'!C50</f>
        <v>Pump_2_Total_Hours</v>
      </c>
      <c r="C42" t="str">
        <f>'Point List'!L50</f>
        <v>WordAddress</v>
      </c>
      <c r="D42" t="s">
        <v>220</v>
      </c>
      <c r="E42" t="str">
        <f>'Point List'!J50</f>
        <v>412457</v>
      </c>
      <c r="K42" t="str">
        <f t="shared" si="0"/>
        <v>Pump_2_Total_Hours,,WordAddress,PLC1,412457,,</v>
      </c>
      <c r="O42" t="s">
        <v>266</v>
      </c>
    </row>
    <row r="43" spans="1:15" x14ac:dyDescent="0.3">
      <c r="A43" t="str">
        <f>'Point List'!C51</f>
        <v>High_Coolant_Temperature_</v>
      </c>
      <c r="C43" t="str">
        <f>'Point List'!L51</f>
        <v>BitAddress</v>
      </c>
      <c r="D43" t="s">
        <v>220</v>
      </c>
      <c r="E43" t="str">
        <f>'Point List'!J51</f>
        <v>012320</v>
      </c>
      <c r="K43" t="str">
        <f t="shared" si="0"/>
        <v>High_Coolant_Temperature_,,BitAddress,PLC1,012320,,</v>
      </c>
      <c r="O43" t="s">
        <v>267</v>
      </c>
    </row>
    <row r="44" spans="1:15" x14ac:dyDescent="0.3">
      <c r="A44" t="str">
        <f>'Point List'!C52</f>
        <v>Low_Coolant_Level_in_Vessel</v>
      </c>
      <c r="C44" t="str">
        <f>'Point List'!L52</f>
        <v>BitAddress</v>
      </c>
      <c r="D44" t="s">
        <v>220</v>
      </c>
      <c r="E44" t="str">
        <f>'Point List'!J52</f>
        <v>012321</v>
      </c>
      <c r="K44" t="str">
        <f t="shared" si="0"/>
        <v>Low_Coolant_Level_in_Vessel,,BitAddress,PLC1,012321,,</v>
      </c>
      <c r="O44" t="s">
        <v>268</v>
      </c>
    </row>
    <row r="45" spans="1:15" x14ac:dyDescent="0.3">
      <c r="A45" t="str">
        <f>'Point List'!C53</f>
        <v>High_Coolant_Conductivity_</v>
      </c>
      <c r="C45" t="str">
        <f>'Point List'!L53</f>
        <v>BitAddress</v>
      </c>
      <c r="D45" t="s">
        <v>220</v>
      </c>
      <c r="E45" t="str">
        <f>'Point List'!J53</f>
        <v>012322</v>
      </c>
      <c r="K45" t="str">
        <f t="shared" si="0"/>
        <v>High_Coolant_Conductivity_,,BitAddress,PLC1,012322,,</v>
      </c>
      <c r="O45" t="s">
        <v>269</v>
      </c>
    </row>
    <row r="46" spans="1:15" x14ac:dyDescent="0.3">
      <c r="A46" t="str">
        <f>'Point List'!C54</f>
        <v>Low_Hydraulic_Power</v>
      </c>
      <c r="C46" t="str">
        <f>'Point List'!L54</f>
        <v>BitAddress</v>
      </c>
      <c r="D46" t="s">
        <v>220</v>
      </c>
      <c r="E46" t="str">
        <f>'Point List'!J54</f>
        <v>012323</v>
      </c>
      <c r="K46" t="str">
        <f t="shared" si="0"/>
        <v>Low_Hydraulic_Power,,BitAddress,PLC1,012323,,</v>
      </c>
      <c r="O46" t="s">
        <v>270</v>
      </c>
    </row>
    <row r="47" spans="1:15" x14ac:dyDescent="0.3">
      <c r="A47" t="str">
        <f>'Point List'!C55</f>
        <v>Low_Hydraulic_Flow</v>
      </c>
      <c r="C47" t="str">
        <f>'Point List'!L55</f>
        <v>BitAddress</v>
      </c>
      <c r="D47" t="s">
        <v>220</v>
      </c>
      <c r="E47" t="str">
        <f>'Point List'!J55</f>
        <v>012324</v>
      </c>
      <c r="K47" t="str">
        <f t="shared" si="0"/>
        <v>Low_Hydraulic_Flow,,BitAddress,PLC1,012324,,</v>
      </c>
      <c r="O47" t="s">
        <v>271</v>
      </c>
    </row>
    <row r="48" spans="1:15" x14ac:dyDescent="0.3">
      <c r="A48" t="str">
        <f>'Point List'!C56</f>
        <v>Low_Hydraulic_Pressure</v>
      </c>
      <c r="C48" t="str">
        <f>'Point List'!L56</f>
        <v>BitAddress</v>
      </c>
      <c r="D48" t="s">
        <v>220</v>
      </c>
      <c r="E48" t="str">
        <f>'Point List'!J56</f>
        <v>012325</v>
      </c>
      <c r="K48" t="str">
        <f t="shared" si="0"/>
        <v>Low_Hydraulic_Pressure,,BitAddress,PLC1,012325,,</v>
      </c>
      <c r="O48" t="s">
        <v>272</v>
      </c>
    </row>
    <row r="49" spans="1:15" x14ac:dyDescent="0.3">
      <c r="A49" t="str">
        <f>'Point List'!C57</f>
        <v>Voltage_Signal_Malfunction</v>
      </c>
      <c r="C49" t="str">
        <f>'Point List'!L57</f>
        <v>BitAddress</v>
      </c>
      <c r="D49" t="s">
        <v>220</v>
      </c>
      <c r="E49" t="str">
        <f>'Point List'!J57</f>
        <v>012326</v>
      </c>
      <c r="K49" t="str">
        <f t="shared" si="0"/>
        <v>Voltage_Signal_Malfunction,,BitAddress,PLC1,012326,,</v>
      </c>
      <c r="O49" t="s">
        <v>273</v>
      </c>
    </row>
    <row r="50" spans="1:15" x14ac:dyDescent="0.3">
      <c r="A50" t="str">
        <f>'Point List'!C58</f>
        <v>Current_Signal_Malfunction</v>
      </c>
      <c r="C50" t="str">
        <f>'Point List'!L58</f>
        <v>BitAddress</v>
      </c>
      <c r="D50" t="s">
        <v>220</v>
      </c>
      <c r="E50" t="str">
        <f>'Point List'!J58</f>
        <v>012327</v>
      </c>
      <c r="K50" t="str">
        <f t="shared" si="0"/>
        <v>Current_Signal_Malfunction,,BitAddress,PLC1,012327,,</v>
      </c>
      <c r="O50" t="s">
        <v>274</v>
      </c>
    </row>
    <row r="51" spans="1:15" x14ac:dyDescent="0.3">
      <c r="A51" t="str">
        <f>'Point List'!C59</f>
        <v>Primary_Hydraulic_Failure</v>
      </c>
      <c r="C51" t="str">
        <f>'Point List'!L59</f>
        <v>BitAddress</v>
      </c>
      <c r="D51" t="s">
        <v>220</v>
      </c>
      <c r="E51" t="str">
        <f>'Point List'!J59</f>
        <v>012328</v>
      </c>
      <c r="K51" t="str">
        <f t="shared" si="0"/>
        <v>Primary_Hydraulic_Failure,,BitAddress,PLC1,012328,,</v>
      </c>
      <c r="O51" t="s">
        <v>275</v>
      </c>
    </row>
    <row r="52" spans="1:15" x14ac:dyDescent="0.3">
      <c r="A52" t="str">
        <f>'Point List'!C60</f>
        <v>Secondary_Hydraulic_Failure</v>
      </c>
      <c r="C52" t="str">
        <f>'Point List'!L60</f>
        <v>BitAddress</v>
      </c>
      <c r="D52" t="s">
        <v>220</v>
      </c>
      <c r="E52" t="str">
        <f>'Point List'!J60</f>
        <v>012329</v>
      </c>
      <c r="K52" t="str">
        <f t="shared" si="0"/>
        <v>Secondary_Hydraulic_Failure,,BitAddress,PLC1,012329,,</v>
      </c>
      <c r="O52" t="s">
        <v>276</v>
      </c>
    </row>
    <row r="53" spans="1:15" x14ac:dyDescent="0.3">
      <c r="A53" t="str">
        <f>'Point List'!C61</f>
        <v>Automatic_Valve_Control_Disabled</v>
      </c>
      <c r="C53" t="str">
        <f>'Point List'!L61</f>
        <v>BitAddress</v>
      </c>
      <c r="D53" t="s">
        <v>220</v>
      </c>
      <c r="E53" t="str">
        <f>'Point List'!J61</f>
        <v>012330</v>
      </c>
      <c r="K53" t="str">
        <f t="shared" si="0"/>
        <v>Automatic_Valve_Control_Disabled,,BitAddress,PLC1,012330,,</v>
      </c>
      <c r="O53" t="s">
        <v>277</v>
      </c>
    </row>
    <row r="54" spans="1:15" x14ac:dyDescent="0.3">
      <c r="A54" t="str">
        <f>'Point List'!C62</f>
        <v>Automatic_Fan_Control_Disabled</v>
      </c>
      <c r="C54" t="str">
        <f>'Point List'!L62</f>
        <v>BitAddress</v>
      </c>
      <c r="D54" t="s">
        <v>220</v>
      </c>
      <c r="E54" t="str">
        <f>'Point List'!J62</f>
        <v>012331</v>
      </c>
      <c r="K54" t="str">
        <f t="shared" si="0"/>
        <v>Automatic_Fan_Control_Disabled,,BitAddress,PLC1,012331,,</v>
      </c>
      <c r="O54" t="s">
        <v>278</v>
      </c>
    </row>
    <row r="55" spans="1:15" x14ac:dyDescent="0.3">
      <c r="A55" t="str">
        <f>'Point List'!C63</f>
        <v>Flow_Signal_Malfunction</v>
      </c>
      <c r="C55" t="str">
        <f>'Point List'!L63</f>
        <v>BitAddress</v>
      </c>
      <c r="D55" t="s">
        <v>220</v>
      </c>
      <c r="E55" t="str">
        <f>'Point List'!J63</f>
        <v>012332</v>
      </c>
      <c r="K55" t="str">
        <f t="shared" si="0"/>
        <v>Flow_Signal_Malfunction,,BitAddress,PLC1,012332,,</v>
      </c>
      <c r="O55" t="s">
        <v>279</v>
      </c>
    </row>
    <row r="56" spans="1:15" x14ac:dyDescent="0.3">
      <c r="A56" t="str">
        <f>'Point List'!C64</f>
        <v>Bad_RTD_1_Signal</v>
      </c>
      <c r="C56" t="str">
        <f>'Point List'!L64</f>
        <v>BitAddress</v>
      </c>
      <c r="D56" t="s">
        <v>220</v>
      </c>
      <c r="E56" t="str">
        <f>'Point List'!J64</f>
        <v>012333</v>
      </c>
      <c r="K56" t="str">
        <f t="shared" si="0"/>
        <v>Bad_RTD_1_Signal,,BitAddress,PLC1,012333,,</v>
      </c>
      <c r="O56" t="s">
        <v>280</v>
      </c>
    </row>
    <row r="57" spans="1:15" x14ac:dyDescent="0.3">
      <c r="A57" t="str">
        <f>'Point List'!C65</f>
        <v>Bad_RTD_2_Signal</v>
      </c>
      <c r="C57" t="str">
        <f>'Point List'!L65</f>
        <v>BitAddress</v>
      </c>
      <c r="D57" t="s">
        <v>220</v>
      </c>
      <c r="E57" t="str">
        <f>'Point List'!J65</f>
        <v>012334</v>
      </c>
      <c r="K57" t="str">
        <f t="shared" si="0"/>
        <v>Bad_RTD_2_Signal,,BitAddress,PLC1,012334,,</v>
      </c>
      <c r="O57" t="s">
        <v>281</v>
      </c>
    </row>
    <row r="58" spans="1:15" x14ac:dyDescent="0.3">
      <c r="A58" t="str">
        <f>'Point List'!C66</f>
        <v>Bad_RTD_3_Signal</v>
      </c>
      <c r="C58" t="str">
        <f>'Point List'!L66</f>
        <v>BitAddress</v>
      </c>
      <c r="D58" t="s">
        <v>220</v>
      </c>
      <c r="E58" t="str">
        <f>'Point List'!J66</f>
        <v>012335</v>
      </c>
      <c r="K58" t="str">
        <f t="shared" si="0"/>
        <v>Bad_RTD_3_Signal,,BitAddress,PLC1,012335,,</v>
      </c>
      <c r="O58" t="s">
        <v>282</v>
      </c>
    </row>
    <row r="59" spans="1:15" x14ac:dyDescent="0.3">
      <c r="A59" t="str">
        <f>'Point List'!C67</f>
        <v>Pump_Cycle_Alarm</v>
      </c>
      <c r="C59" t="str">
        <f>'Point List'!L67</f>
        <v>BitAddress</v>
      </c>
      <c r="D59" t="s">
        <v>220</v>
      </c>
      <c r="E59" t="str">
        <f>'Point List'!J67</f>
        <v>012336</v>
      </c>
      <c r="K59" t="str">
        <f t="shared" si="0"/>
        <v>Pump_Cycle_Alarm,,BitAddress,PLC1,012336,,</v>
      </c>
      <c r="O59" t="s">
        <v>283</v>
      </c>
    </row>
    <row r="60" spans="1:15" x14ac:dyDescent="0.3">
      <c r="A60" t="str">
        <f>'Point List'!C68</f>
        <v>Critical_Temperature</v>
      </c>
      <c r="C60" t="str">
        <f>'Point List'!L68</f>
        <v>BitAddress</v>
      </c>
      <c r="D60" t="s">
        <v>220</v>
      </c>
      <c r="E60" t="str">
        <f>'Point List'!J68</f>
        <v>012337</v>
      </c>
      <c r="K60" t="str">
        <f t="shared" ref="K60:K68" si="1">_xlfn.CONCAT(A60,",",B60,",",C60,",",D60,",",E60,",",F60,",",G60)</f>
        <v>Critical_Temperature,,BitAddress,PLC1,012337,,</v>
      </c>
      <c r="O60" t="s">
        <v>284</v>
      </c>
    </row>
    <row r="61" spans="1:15" x14ac:dyDescent="0.3">
      <c r="A61" t="str">
        <f>'Point List'!C69</f>
        <v>Critical_Vessel_Level</v>
      </c>
      <c r="C61" t="str">
        <f>'Point List'!L69</f>
        <v>BitAddress</v>
      </c>
      <c r="D61" t="s">
        <v>220</v>
      </c>
      <c r="E61" t="str">
        <f>'Point List'!J69</f>
        <v>012338</v>
      </c>
      <c r="K61" t="str">
        <f t="shared" si="1"/>
        <v>Critical_Vessel_Level,,BitAddress,PLC1,012338,,</v>
      </c>
      <c r="O61" t="s">
        <v>285</v>
      </c>
    </row>
    <row r="62" spans="1:15" x14ac:dyDescent="0.3">
      <c r="A62" t="str">
        <f>'Point List'!C70</f>
        <v>Critical_Conductivity</v>
      </c>
      <c r="C62" t="str">
        <f>'Point List'!L70</f>
        <v>BitAddress</v>
      </c>
      <c r="D62" t="s">
        <v>220</v>
      </c>
      <c r="E62" t="str">
        <f>'Point List'!J70</f>
        <v>012339</v>
      </c>
      <c r="K62" t="str">
        <f t="shared" si="1"/>
        <v>Critical_Conductivity,,BitAddress,PLC1,012339,,</v>
      </c>
      <c r="O62" t="s">
        <v>286</v>
      </c>
    </row>
    <row r="63" spans="1:15" x14ac:dyDescent="0.3">
      <c r="A63" t="str">
        <f>'Point List'!C71</f>
        <v>Level_Sensor_Malfunction</v>
      </c>
      <c r="C63" t="str">
        <f>'Point List'!L71</f>
        <v>BitAddress</v>
      </c>
      <c r="D63" t="s">
        <v>220</v>
      </c>
      <c r="E63" t="str">
        <f>'Point List'!J71</f>
        <v>012340</v>
      </c>
      <c r="K63" t="str">
        <f t="shared" si="1"/>
        <v>Level_Sensor_Malfunction,,BitAddress,PLC1,012340,,</v>
      </c>
      <c r="O63" t="s">
        <v>287</v>
      </c>
    </row>
    <row r="64" spans="1:15" x14ac:dyDescent="0.3">
      <c r="A64" t="str">
        <f>'Point List'!C72</f>
        <v>Conductivity_Sensor_Malfunction</v>
      </c>
      <c r="C64" t="str">
        <f>'Point List'!L72</f>
        <v>BitAddress</v>
      </c>
      <c r="D64" t="s">
        <v>220</v>
      </c>
      <c r="E64" t="str">
        <f>'Point List'!J72</f>
        <v>012341</v>
      </c>
      <c r="K64" t="str">
        <f t="shared" si="1"/>
        <v>Conductivity_Sensor_Malfunction,,BitAddress,PLC1,012341,,</v>
      </c>
      <c r="O64" t="s">
        <v>288</v>
      </c>
    </row>
    <row r="65" spans="1:15" x14ac:dyDescent="0.3">
      <c r="A65" t="str">
        <f>'Point List'!C73</f>
        <v>Bingo_Pumps</v>
      </c>
      <c r="C65" t="str">
        <f>'Point List'!L73</f>
        <v>BitAddress</v>
      </c>
      <c r="D65" t="s">
        <v>220</v>
      </c>
      <c r="E65" t="str">
        <f>'Point List'!J73</f>
        <v>012342</v>
      </c>
      <c r="K65" t="str">
        <f t="shared" si="1"/>
        <v>Bingo_Pumps,,BitAddress,PLC1,012342,,</v>
      </c>
      <c r="O65" t="s">
        <v>289</v>
      </c>
    </row>
    <row r="66" spans="1:15" x14ac:dyDescent="0.3">
      <c r="A66" t="str">
        <f>'Point List'!C74</f>
        <v>Temperature_Sensor_Malfunction</v>
      </c>
      <c r="C66" t="str">
        <f>'Point List'!L74</f>
        <v>BitAddress</v>
      </c>
      <c r="D66" t="s">
        <v>220</v>
      </c>
      <c r="E66" t="str">
        <f>'Point List'!J74</f>
        <v>012343</v>
      </c>
      <c r="K66" t="str">
        <f t="shared" si="1"/>
        <v>Temperature_Sensor_Malfunction,,BitAddress,PLC1,012343,,</v>
      </c>
      <c r="O66" t="s">
        <v>290</v>
      </c>
    </row>
    <row r="67" spans="1:15" x14ac:dyDescent="0.3">
      <c r="A67" t="str">
        <f>'Point List'!C75</f>
        <v>Bad_Valve_Pos</v>
      </c>
      <c r="C67" t="str">
        <f>'Point List'!L75</f>
        <v>BitAddress</v>
      </c>
      <c r="D67" t="s">
        <v>220</v>
      </c>
      <c r="E67" t="str">
        <f>'Point List'!J75</f>
        <v>012344</v>
      </c>
      <c r="K67" t="str">
        <f t="shared" si="1"/>
        <v>Bad_Valve_Pos,,BitAddress,PLC1,012344,,</v>
      </c>
      <c r="O67" t="s">
        <v>291</v>
      </c>
    </row>
    <row r="68" spans="1:15" x14ac:dyDescent="0.3">
      <c r="A68" t="str">
        <f>'Point List'!C76</f>
        <v>Master_Fault_Signal</v>
      </c>
      <c r="C68" t="str">
        <f>'Point List'!L76</f>
        <v>BitAddress</v>
      </c>
      <c r="D68" t="s">
        <v>220</v>
      </c>
      <c r="E68" t="str">
        <f>'Point List'!J76</f>
        <v>012345</v>
      </c>
      <c r="K68" t="str">
        <f t="shared" si="1"/>
        <v>Master_Fault_Signal,,BitAddress,PLC1,012345,,</v>
      </c>
      <c r="O68" t="s">
        <v>292</v>
      </c>
    </row>
    <row r="69" spans="1:15" x14ac:dyDescent="0.3">
      <c r="A69" t="str">
        <f>'Point List'!C98</f>
        <v>Primary_Pump_Active</v>
      </c>
      <c r="C69" t="str">
        <f>'Point List'!L98</f>
        <v>BitAddress</v>
      </c>
      <c r="D69" t="s">
        <v>220</v>
      </c>
      <c r="E69" t="str">
        <f>'Point List'!J98</f>
        <v>012346</v>
      </c>
      <c r="K69" t="str">
        <f>_xlfn.CONCAT(A69,",",B69,",",C69,",",D69,",",E69,",",F69,",",G69)</f>
        <v>Primary_Pump_Active,,BitAddress,PLC1,012346,,</v>
      </c>
      <c r="O69" t="s">
        <v>293</v>
      </c>
    </row>
    <row r="70" spans="1:15" x14ac:dyDescent="0.3">
      <c r="A70" t="str">
        <f>'Point List'!C99</f>
        <v>Secondary_Pump__Active</v>
      </c>
      <c r="C70" t="str">
        <f>'Point List'!L99</f>
        <v>BitAddress</v>
      </c>
      <c r="D70" t="s">
        <v>220</v>
      </c>
      <c r="E70" t="str">
        <f>'Point List'!J99</f>
        <v>012347</v>
      </c>
      <c r="K70" t="str">
        <f>_xlfn.CONCAT(A70,",",B70,",",C70,",",D70,",",E70,",",F70,",",G70)</f>
        <v>Secondary_Pump__Active,,BitAddress,PLC1,012347,,</v>
      </c>
      <c r="O70" t="s">
        <v>294</v>
      </c>
    </row>
    <row r="71" spans="1:15" x14ac:dyDescent="0.3">
      <c r="A71" t="str">
        <f>'Point List'!C100</f>
        <v>Simplex_Mode_Active</v>
      </c>
      <c r="C71" t="str">
        <f>'Point List'!L100</f>
        <v>BitAddress</v>
      </c>
      <c r="D71" t="s">
        <v>220</v>
      </c>
      <c r="E71" t="str">
        <f>'Point List'!J100</f>
        <v>012348</v>
      </c>
      <c r="K71" t="str">
        <f>_xlfn.CONCAT(A71,",",B71,",",C71,",",D71,",",E71,",",F71,",",G71)</f>
        <v>Simplex_Mode_Active,,BitAddress,PLC1,012348,,</v>
      </c>
      <c r="O71" t="s">
        <v>295</v>
      </c>
    </row>
    <row r="72" spans="1:15" x14ac:dyDescent="0.3">
      <c r="A72" t="str">
        <f>'Point List'!C101</f>
        <v>Fan_1_Active</v>
      </c>
      <c r="C72" t="str">
        <f>'Point List'!L101</f>
        <v>BitAddress</v>
      </c>
      <c r="D72" t="s">
        <v>220</v>
      </c>
      <c r="E72" t="str">
        <f>'Point List'!J101</f>
        <v>012349</v>
      </c>
      <c r="K72" t="str">
        <f>_xlfn.CONCAT(A72,",",B72,",",C72,",",D72,",",E72,",",F72,",",G72)</f>
        <v>Fan_1_Active,,BitAddress,PLC1,012349,,</v>
      </c>
      <c r="O72" t="s">
        <v>296</v>
      </c>
    </row>
    <row r="73" spans="1:15" x14ac:dyDescent="0.3">
      <c r="A73" t="str">
        <f>'Point List'!C102</f>
        <v>Fan_2_Active</v>
      </c>
      <c r="C73" t="str">
        <f>'Point List'!L102</f>
        <v>BitAddress</v>
      </c>
      <c r="D73" t="s">
        <v>220</v>
      </c>
      <c r="E73" t="str">
        <f>'Point List'!J102</f>
        <v>012350</v>
      </c>
      <c r="K73" t="str">
        <f>_xlfn.CONCAT(A73,",",B73,",",C73,",",D73,",",E73,",",F73,",",G73)</f>
        <v>Fan_2_Active,,BitAddress,PLC1,012350,,</v>
      </c>
      <c r="O73" t="s">
        <v>297</v>
      </c>
    </row>
    <row r="74" spans="1:15" x14ac:dyDescent="0.3">
      <c r="A74" t="str">
        <f>'Point List'!C103</f>
        <v>Enable_Pump_Cycling</v>
      </c>
      <c r="C74" t="str">
        <f>'Point List'!L103</f>
        <v>BitAddress</v>
      </c>
      <c r="D74" t="s">
        <v>220</v>
      </c>
      <c r="E74" t="str">
        <f>'Point List'!J103</f>
        <v>012351</v>
      </c>
      <c r="K74" t="str">
        <f>_xlfn.CONCAT(A74,",",B74,",",C74,",",D74,",",E74,",",F74,",",G74)</f>
        <v>Enable_Pump_Cycling,,BitAddress,PLC1,012351,,</v>
      </c>
      <c r="O74" t="s">
        <v>298</v>
      </c>
    </row>
    <row r="75" spans="1:15" x14ac:dyDescent="0.3">
      <c r="A75" t="str">
        <f>'Point List'!C104</f>
        <v>System_Diagnostics</v>
      </c>
      <c r="C75" t="str">
        <f>'Point List'!L104</f>
        <v>BitAddress</v>
      </c>
      <c r="D75" t="s">
        <v>220</v>
      </c>
      <c r="E75" t="str">
        <f>'Point List'!J104</f>
        <v>012352</v>
      </c>
      <c r="K75" t="str">
        <f>_xlfn.CONCAT(A75,",",B75,",",C75,",",D75,",",E75,",",F75,",",G75)</f>
        <v>System_Diagnostics,,BitAddress,PLC1,012352,,</v>
      </c>
      <c r="O75" t="s">
        <v>299</v>
      </c>
    </row>
    <row r="76" spans="1:15" x14ac:dyDescent="0.3">
      <c r="A76" t="str">
        <f>'Point List'!C105</f>
        <v>Status_Indicator_Text</v>
      </c>
      <c r="C76" t="str">
        <f>'Point List'!L105</f>
        <v>WordAddress</v>
      </c>
      <c r="D76" t="s">
        <v>220</v>
      </c>
      <c r="E76" t="str">
        <f>'Point List'!J105</f>
        <v>412683</v>
      </c>
      <c r="K76" t="str">
        <f>_xlfn.CONCAT(A76,",",B76,",",C76,",",D76,",",E76,",",F76,",",G76)</f>
        <v>Status_Indicator_Text,,WordAddress,PLC1,412683,,</v>
      </c>
      <c r="O76" t="s">
        <v>300</v>
      </c>
    </row>
    <row r="77" spans="1:15" x14ac:dyDescent="0.3">
      <c r="A77">
        <f>'Point List'!C106</f>
        <v>0</v>
      </c>
      <c r="C77">
        <f>'Point List'!L106</f>
        <v>0</v>
      </c>
      <c r="D77" t="s">
        <v>220</v>
      </c>
      <c r="E77">
        <f>'Point List'!J106</f>
        <v>0</v>
      </c>
    </row>
    <row r="78" spans="1:15" x14ac:dyDescent="0.3">
      <c r="A78">
        <f>'Point List'!C107</f>
        <v>0</v>
      </c>
      <c r="C78">
        <f>'Point List'!L107</f>
        <v>0</v>
      </c>
      <c r="D78" t="s">
        <v>220</v>
      </c>
      <c r="E78">
        <f>'Point List'!J107</f>
        <v>0</v>
      </c>
    </row>
    <row r="79" spans="1:15" x14ac:dyDescent="0.3">
      <c r="A79">
        <f>'Point List'!C108</f>
        <v>0</v>
      </c>
      <c r="C79">
        <f>'Point List'!L108</f>
        <v>0</v>
      </c>
      <c r="D79" t="s">
        <v>220</v>
      </c>
      <c r="E79">
        <f>'Point List'!J108</f>
        <v>0</v>
      </c>
    </row>
    <row r="80" spans="1:15" x14ac:dyDescent="0.3">
      <c r="A80">
        <f>'Point List'!C109</f>
        <v>0</v>
      </c>
      <c r="C80">
        <f>'Point List'!L109</f>
        <v>0</v>
      </c>
      <c r="D80" t="s">
        <v>220</v>
      </c>
      <c r="E80">
        <f>'Point List'!J109</f>
        <v>0</v>
      </c>
    </row>
    <row r="81" spans="1:5" x14ac:dyDescent="0.3">
      <c r="A81">
        <f>'Point List'!C110</f>
        <v>0</v>
      </c>
      <c r="C81">
        <f>'Point List'!L110</f>
        <v>0</v>
      </c>
      <c r="D81" t="s">
        <v>220</v>
      </c>
      <c r="E81">
        <f>'Point List'!J110</f>
        <v>0</v>
      </c>
    </row>
    <row r="82" spans="1:5" x14ac:dyDescent="0.3">
      <c r="A82">
        <f>'Point List'!C111</f>
        <v>0</v>
      </c>
      <c r="C82">
        <f>'Point List'!L111</f>
        <v>0</v>
      </c>
      <c r="D82" t="s">
        <v>220</v>
      </c>
      <c r="E82">
        <f>'Point List'!J111</f>
        <v>0</v>
      </c>
    </row>
    <row r="83" spans="1:5" x14ac:dyDescent="0.3">
      <c r="A83">
        <f>'Point List'!C112</f>
        <v>0</v>
      </c>
      <c r="C83">
        <f>'Point List'!L112</f>
        <v>0</v>
      </c>
      <c r="D83" t="s">
        <v>220</v>
      </c>
      <c r="E83">
        <f>'Point List'!J112</f>
        <v>0</v>
      </c>
    </row>
    <row r="84" spans="1:5" x14ac:dyDescent="0.3">
      <c r="A84">
        <f>'Point List'!C113</f>
        <v>0</v>
      </c>
      <c r="C84">
        <f>'Point List'!L113</f>
        <v>0</v>
      </c>
      <c r="D84" t="s">
        <v>220</v>
      </c>
      <c r="E84">
        <f>'Point List'!J113</f>
        <v>0</v>
      </c>
    </row>
    <row r="85" spans="1:5" x14ac:dyDescent="0.3">
      <c r="A85">
        <f>'Point List'!C114</f>
        <v>0</v>
      </c>
      <c r="C85">
        <f>'Point List'!L114</f>
        <v>0</v>
      </c>
      <c r="D85" t="s">
        <v>220</v>
      </c>
      <c r="E85">
        <f>'Point List'!J114</f>
        <v>0</v>
      </c>
    </row>
    <row r="86" spans="1:5" x14ac:dyDescent="0.3">
      <c r="A86">
        <f>'Point List'!C115</f>
        <v>0</v>
      </c>
      <c r="C86">
        <f>'Point List'!L115</f>
        <v>0</v>
      </c>
      <c r="D86" t="s">
        <v>220</v>
      </c>
      <c r="E86">
        <f>'Point List'!J115</f>
        <v>0</v>
      </c>
    </row>
    <row r="87" spans="1:5" x14ac:dyDescent="0.3">
      <c r="A87">
        <f>'Point List'!C116</f>
        <v>0</v>
      </c>
      <c r="C87">
        <f>'Point List'!L116</f>
        <v>0</v>
      </c>
      <c r="D87" t="s">
        <v>220</v>
      </c>
      <c r="E87">
        <f>'Point List'!J116</f>
        <v>0</v>
      </c>
    </row>
    <row r="88" spans="1:5" x14ac:dyDescent="0.3">
      <c r="A88">
        <f>'Point List'!C117</f>
        <v>0</v>
      </c>
      <c r="C88">
        <f>'Point List'!L117</f>
        <v>0</v>
      </c>
      <c r="D88" t="s">
        <v>220</v>
      </c>
      <c r="E88">
        <f>'Point List'!J117</f>
        <v>0</v>
      </c>
    </row>
    <row r="89" spans="1:5" x14ac:dyDescent="0.3">
      <c r="A89">
        <f>'Point List'!C118</f>
        <v>0</v>
      </c>
      <c r="C89">
        <f>'Point List'!L118</f>
        <v>0</v>
      </c>
      <c r="D89" t="s">
        <v>220</v>
      </c>
      <c r="E89">
        <f>'Point List'!J118</f>
        <v>0</v>
      </c>
    </row>
    <row r="90" spans="1:5" x14ac:dyDescent="0.3">
      <c r="A90">
        <f>'Point List'!C119</f>
        <v>0</v>
      </c>
      <c r="C90">
        <f>'Point List'!L119</f>
        <v>0</v>
      </c>
      <c r="D90" t="s">
        <v>220</v>
      </c>
      <c r="E90">
        <f>'Point List'!J119</f>
        <v>0</v>
      </c>
    </row>
    <row r="91" spans="1:5" x14ac:dyDescent="0.3">
      <c r="A91">
        <f>'Point List'!C120</f>
        <v>0</v>
      </c>
      <c r="C91">
        <f>'Point List'!L120</f>
        <v>0</v>
      </c>
      <c r="D91" t="s">
        <v>220</v>
      </c>
      <c r="E91">
        <f>'Point List'!J120</f>
        <v>0</v>
      </c>
    </row>
    <row r="92" spans="1:5" x14ac:dyDescent="0.3">
      <c r="A92">
        <f>'Point List'!C121</f>
        <v>0</v>
      </c>
      <c r="C92">
        <f>'Point List'!L121</f>
        <v>0</v>
      </c>
      <c r="D92" t="s">
        <v>220</v>
      </c>
      <c r="E92">
        <f>'Point List'!J121</f>
        <v>0</v>
      </c>
    </row>
    <row r="93" spans="1:5" x14ac:dyDescent="0.3">
      <c r="A93">
        <f>'Point List'!C122</f>
        <v>0</v>
      </c>
      <c r="C93">
        <f>'Point List'!L122</f>
        <v>0</v>
      </c>
      <c r="D93" t="s">
        <v>220</v>
      </c>
      <c r="E93">
        <f>'Point List'!J122</f>
        <v>0</v>
      </c>
    </row>
    <row r="94" spans="1:5" x14ac:dyDescent="0.3">
      <c r="A94">
        <f>'Point List'!C123</f>
        <v>0</v>
      </c>
      <c r="C94">
        <f>'Point List'!L123</f>
        <v>0</v>
      </c>
      <c r="D94" t="s">
        <v>220</v>
      </c>
      <c r="E94">
        <f>'Point List'!J123</f>
        <v>0</v>
      </c>
    </row>
    <row r="95" spans="1:5" x14ac:dyDescent="0.3">
      <c r="A95">
        <f>'Point List'!C124</f>
        <v>0</v>
      </c>
      <c r="C95">
        <f>'Point List'!L124</f>
        <v>0</v>
      </c>
      <c r="D95" t="s">
        <v>220</v>
      </c>
      <c r="E95">
        <f>'Point List'!J124</f>
        <v>0</v>
      </c>
    </row>
    <row r="96" spans="1:5" x14ac:dyDescent="0.3">
      <c r="A96">
        <f>'Point List'!C125</f>
        <v>0</v>
      </c>
      <c r="C96">
        <f>'Point List'!L125</f>
        <v>0</v>
      </c>
      <c r="D96" t="s">
        <v>220</v>
      </c>
      <c r="E96">
        <f>'Point List'!J125</f>
        <v>0</v>
      </c>
    </row>
    <row r="97" spans="1:5" x14ac:dyDescent="0.3">
      <c r="A97">
        <f>'Point List'!C126</f>
        <v>0</v>
      </c>
      <c r="C97">
        <f>'Point List'!L126</f>
        <v>0</v>
      </c>
      <c r="D97" t="s">
        <v>220</v>
      </c>
      <c r="E97">
        <f>'Point List'!J126</f>
        <v>0</v>
      </c>
    </row>
    <row r="98" spans="1:5" x14ac:dyDescent="0.3">
      <c r="A98">
        <f>'Point List'!C127</f>
        <v>0</v>
      </c>
      <c r="C98">
        <f>'Point List'!L127</f>
        <v>0</v>
      </c>
      <c r="D98" t="s">
        <v>220</v>
      </c>
      <c r="E98">
        <f>'Point List'!J127</f>
        <v>0</v>
      </c>
    </row>
    <row r="99" spans="1:5" x14ac:dyDescent="0.3">
      <c r="A99">
        <f>'Point List'!C128</f>
        <v>0</v>
      </c>
      <c r="C99">
        <f>'Point List'!L128</f>
        <v>0</v>
      </c>
      <c r="D99" t="s">
        <v>220</v>
      </c>
      <c r="E99">
        <f>'Point List'!J128</f>
        <v>0</v>
      </c>
    </row>
    <row r="100" spans="1:5" x14ac:dyDescent="0.3">
      <c r="A100">
        <f>'Point List'!C129</f>
        <v>0</v>
      </c>
      <c r="C100">
        <f>'Point List'!L129</f>
        <v>0</v>
      </c>
      <c r="D100" t="s">
        <v>220</v>
      </c>
      <c r="E100">
        <f>'Point List'!J129</f>
        <v>0</v>
      </c>
    </row>
    <row r="101" spans="1:5" x14ac:dyDescent="0.3">
      <c r="A101">
        <f>'Point List'!C130</f>
        <v>0</v>
      </c>
      <c r="C101">
        <f>'Point List'!L130</f>
        <v>0</v>
      </c>
      <c r="D101" t="s">
        <v>220</v>
      </c>
      <c r="E101">
        <f>'Point List'!J130</f>
        <v>0</v>
      </c>
    </row>
    <row r="102" spans="1:5" x14ac:dyDescent="0.3">
      <c r="A102">
        <f>'Point List'!C131</f>
        <v>0</v>
      </c>
      <c r="C102">
        <f>'Point List'!L131</f>
        <v>0</v>
      </c>
      <c r="D102" t="s">
        <v>220</v>
      </c>
      <c r="E102">
        <f>'Point List'!J131</f>
        <v>0</v>
      </c>
    </row>
    <row r="103" spans="1:5" x14ac:dyDescent="0.3">
      <c r="A103">
        <f>'Point List'!C132</f>
        <v>0</v>
      </c>
      <c r="C103">
        <f>'Point List'!L132</f>
        <v>0</v>
      </c>
      <c r="D103" t="s">
        <v>220</v>
      </c>
      <c r="E103">
        <f>'Point List'!J132</f>
        <v>0</v>
      </c>
    </row>
    <row r="104" spans="1:5" x14ac:dyDescent="0.3">
      <c r="A104">
        <f>'Point List'!C133</f>
        <v>0</v>
      </c>
      <c r="C104">
        <f>'Point List'!L133</f>
        <v>0</v>
      </c>
      <c r="D104" t="s">
        <v>220</v>
      </c>
      <c r="E104">
        <f>'Point List'!J133</f>
        <v>0</v>
      </c>
    </row>
    <row r="105" spans="1:5" x14ac:dyDescent="0.3">
      <c r="A105">
        <f>'Point List'!C134</f>
        <v>0</v>
      </c>
      <c r="C105">
        <f>'Point List'!L134</f>
        <v>0</v>
      </c>
      <c r="D105" t="s">
        <v>220</v>
      </c>
      <c r="E105">
        <f>'Point List'!J134</f>
        <v>0</v>
      </c>
    </row>
    <row r="106" spans="1:5" x14ac:dyDescent="0.3">
      <c r="A106">
        <f>'Point List'!C135</f>
        <v>0</v>
      </c>
      <c r="C106">
        <f>'Point List'!L135</f>
        <v>0</v>
      </c>
      <c r="D106" t="s">
        <v>220</v>
      </c>
      <c r="E106">
        <f>'Point List'!J135</f>
        <v>0</v>
      </c>
    </row>
    <row r="107" spans="1:5" x14ac:dyDescent="0.3">
      <c r="A107">
        <f>'Point List'!C136</f>
        <v>0</v>
      </c>
      <c r="C107">
        <f>'Point List'!L136</f>
        <v>0</v>
      </c>
      <c r="D107" t="s">
        <v>220</v>
      </c>
      <c r="E107">
        <f>'Point List'!J136</f>
        <v>0</v>
      </c>
    </row>
    <row r="108" spans="1:5" x14ac:dyDescent="0.3">
      <c r="A108">
        <f>'Point List'!C137</f>
        <v>0</v>
      </c>
      <c r="C108">
        <f>'Point List'!L137</f>
        <v>0</v>
      </c>
      <c r="D108" t="s">
        <v>220</v>
      </c>
      <c r="E108">
        <f>'Point List'!J137</f>
        <v>0</v>
      </c>
    </row>
    <row r="109" spans="1:5" x14ac:dyDescent="0.3">
      <c r="A109">
        <f>'Point List'!C138</f>
        <v>0</v>
      </c>
      <c r="C109">
        <f>'Point List'!L138</f>
        <v>0</v>
      </c>
      <c r="D109" t="s">
        <v>220</v>
      </c>
      <c r="E109">
        <f>'Point List'!J138</f>
        <v>0</v>
      </c>
    </row>
    <row r="110" spans="1:5" x14ac:dyDescent="0.3">
      <c r="A110">
        <f>'Point List'!C139</f>
        <v>0</v>
      </c>
      <c r="C110">
        <f>'Point List'!L139</f>
        <v>0</v>
      </c>
      <c r="D110" t="s">
        <v>220</v>
      </c>
      <c r="E110">
        <f>'Point List'!J139</f>
        <v>0</v>
      </c>
    </row>
    <row r="111" spans="1:5" x14ac:dyDescent="0.3">
      <c r="A111">
        <f>'Point List'!C140</f>
        <v>0</v>
      </c>
      <c r="C111">
        <f>'Point List'!L140</f>
        <v>0</v>
      </c>
      <c r="D111" t="s">
        <v>220</v>
      </c>
      <c r="E111">
        <f>'Point List'!J140</f>
        <v>0</v>
      </c>
    </row>
    <row r="112" spans="1:5" x14ac:dyDescent="0.3">
      <c r="A112">
        <f>'Point List'!C141</f>
        <v>0</v>
      </c>
      <c r="C112">
        <f>'Point List'!L141</f>
        <v>0</v>
      </c>
      <c r="D112" t="s">
        <v>220</v>
      </c>
      <c r="E112">
        <f>'Point List'!J141</f>
        <v>0</v>
      </c>
    </row>
    <row r="113" spans="1:5" x14ac:dyDescent="0.3">
      <c r="A113">
        <f>'Point List'!C142</f>
        <v>0</v>
      </c>
      <c r="C113">
        <f>'Point List'!L142</f>
        <v>0</v>
      </c>
      <c r="D113" t="s">
        <v>220</v>
      </c>
      <c r="E113">
        <f>'Point List'!J142</f>
        <v>0</v>
      </c>
    </row>
    <row r="114" spans="1:5" x14ac:dyDescent="0.3">
      <c r="A114">
        <f>'Point List'!C143</f>
        <v>0</v>
      </c>
      <c r="C114">
        <f>'Point List'!L143</f>
        <v>0</v>
      </c>
      <c r="D114" t="s">
        <v>220</v>
      </c>
      <c r="E114">
        <f>'Point List'!J143</f>
        <v>0</v>
      </c>
    </row>
    <row r="115" spans="1:5" x14ac:dyDescent="0.3">
      <c r="A115">
        <f>'Point List'!C144</f>
        <v>0</v>
      </c>
      <c r="C115">
        <f>'Point List'!L144</f>
        <v>0</v>
      </c>
      <c r="D115" t="s">
        <v>220</v>
      </c>
      <c r="E115">
        <f>'Point List'!J144</f>
        <v>0</v>
      </c>
    </row>
    <row r="116" spans="1:5" x14ac:dyDescent="0.3">
      <c r="A116">
        <f>'Point List'!C145</f>
        <v>0</v>
      </c>
      <c r="C116">
        <f>'Point List'!L145</f>
        <v>0</v>
      </c>
      <c r="D116" t="s">
        <v>220</v>
      </c>
      <c r="E116">
        <f>'Point List'!J145</f>
        <v>0</v>
      </c>
    </row>
    <row r="117" spans="1:5" x14ac:dyDescent="0.3">
      <c r="A117">
        <f>'Point List'!C146</f>
        <v>0</v>
      </c>
      <c r="C117">
        <f>'Point List'!L146</f>
        <v>0</v>
      </c>
      <c r="D117" t="s">
        <v>220</v>
      </c>
      <c r="E117">
        <f>'Point List'!J146</f>
        <v>0</v>
      </c>
    </row>
    <row r="118" spans="1:5" x14ac:dyDescent="0.3">
      <c r="A118">
        <f>'Point List'!C147</f>
        <v>0</v>
      </c>
      <c r="C118">
        <f>'Point List'!L147</f>
        <v>0</v>
      </c>
      <c r="D118" t="s">
        <v>220</v>
      </c>
      <c r="E118">
        <f>'Point List'!J147</f>
        <v>0</v>
      </c>
    </row>
    <row r="119" spans="1:5" x14ac:dyDescent="0.3">
      <c r="A119">
        <f>'Point List'!C148</f>
        <v>0</v>
      </c>
      <c r="C119">
        <f>'Point List'!L148</f>
        <v>0</v>
      </c>
      <c r="D119" t="s">
        <v>220</v>
      </c>
      <c r="E119">
        <f>'Point List'!J148</f>
        <v>0</v>
      </c>
    </row>
    <row r="120" spans="1:5" x14ac:dyDescent="0.3">
      <c r="A120">
        <f>'Point List'!C149</f>
        <v>0</v>
      </c>
      <c r="C120">
        <f>'Point List'!L149</f>
        <v>0</v>
      </c>
      <c r="D120" t="s">
        <v>220</v>
      </c>
      <c r="E120">
        <f>'Point List'!J149</f>
        <v>0</v>
      </c>
    </row>
    <row r="121" spans="1:5" x14ac:dyDescent="0.3">
      <c r="A121">
        <f>'Point List'!C150</f>
        <v>0</v>
      </c>
      <c r="C121">
        <f>'Point List'!L150</f>
        <v>0</v>
      </c>
      <c r="D121" t="s">
        <v>220</v>
      </c>
      <c r="E121">
        <f>'Point List'!J150</f>
        <v>0</v>
      </c>
    </row>
    <row r="122" spans="1:5" x14ac:dyDescent="0.3">
      <c r="A122">
        <f>'Point List'!C151</f>
        <v>0</v>
      </c>
      <c r="C122">
        <f>'Point List'!L151</f>
        <v>0</v>
      </c>
      <c r="D122" t="s">
        <v>220</v>
      </c>
      <c r="E122">
        <f>'Point List'!J151</f>
        <v>0</v>
      </c>
    </row>
    <row r="123" spans="1:5" x14ac:dyDescent="0.3">
      <c r="A123">
        <f>'Point List'!C152</f>
        <v>0</v>
      </c>
      <c r="C123">
        <f>'Point List'!L152</f>
        <v>0</v>
      </c>
      <c r="D123" t="s">
        <v>220</v>
      </c>
      <c r="E123">
        <f>'Point List'!J152</f>
        <v>0</v>
      </c>
    </row>
    <row r="124" spans="1:5" x14ac:dyDescent="0.3">
      <c r="A124">
        <f>'Point List'!C153</f>
        <v>0</v>
      </c>
      <c r="C124">
        <f>'Point List'!L153</f>
        <v>0</v>
      </c>
      <c r="D124" t="s">
        <v>220</v>
      </c>
      <c r="E124">
        <f>'Point List'!J153</f>
        <v>0</v>
      </c>
    </row>
    <row r="125" spans="1:5" x14ac:dyDescent="0.3">
      <c r="A125">
        <f>'Point List'!C154</f>
        <v>0</v>
      </c>
      <c r="C125">
        <f>'Point List'!L154</f>
        <v>0</v>
      </c>
      <c r="D125" t="s">
        <v>220</v>
      </c>
      <c r="E125">
        <f>'Point List'!J154</f>
        <v>0</v>
      </c>
    </row>
    <row r="126" spans="1:5" x14ac:dyDescent="0.3">
      <c r="A126">
        <f>'Point List'!C155</f>
        <v>0</v>
      </c>
      <c r="C126">
        <f>'Point List'!L155</f>
        <v>0</v>
      </c>
      <c r="D126" t="s">
        <v>220</v>
      </c>
      <c r="E126">
        <f>'Point List'!J155</f>
        <v>0</v>
      </c>
    </row>
    <row r="127" spans="1:5" x14ac:dyDescent="0.3">
      <c r="A127">
        <f>'Point List'!C156</f>
        <v>0</v>
      </c>
      <c r="C127">
        <f>'Point List'!L156</f>
        <v>0</v>
      </c>
      <c r="D127" t="s">
        <v>220</v>
      </c>
      <c r="E127">
        <f>'Point List'!J156</f>
        <v>0</v>
      </c>
    </row>
    <row r="128" spans="1:5" x14ac:dyDescent="0.3">
      <c r="A128">
        <f>'Point List'!C157</f>
        <v>0</v>
      </c>
      <c r="C128">
        <f>'Point List'!L157</f>
        <v>0</v>
      </c>
      <c r="D128" t="s">
        <v>220</v>
      </c>
      <c r="E128">
        <f>'Point List'!J157</f>
        <v>0</v>
      </c>
    </row>
    <row r="129" spans="1:5" x14ac:dyDescent="0.3">
      <c r="A129">
        <f>'Point List'!C158</f>
        <v>0</v>
      </c>
      <c r="C129">
        <f>'Point List'!L158</f>
        <v>0</v>
      </c>
      <c r="D129" t="s">
        <v>220</v>
      </c>
      <c r="E129">
        <f>'Point List'!J158</f>
        <v>0</v>
      </c>
    </row>
    <row r="130" spans="1:5" x14ac:dyDescent="0.3">
      <c r="A130">
        <f>'Point List'!C159</f>
        <v>0</v>
      </c>
      <c r="C130">
        <f>'Point List'!L159</f>
        <v>0</v>
      </c>
      <c r="D130" t="s">
        <v>220</v>
      </c>
      <c r="E130">
        <f>'Point List'!J159</f>
        <v>0</v>
      </c>
    </row>
    <row r="131" spans="1:5" x14ac:dyDescent="0.3">
      <c r="A131">
        <f>'Point List'!C160</f>
        <v>0</v>
      </c>
      <c r="C131">
        <f>'Point List'!L160</f>
        <v>0</v>
      </c>
      <c r="D131" t="s">
        <v>220</v>
      </c>
      <c r="E131">
        <f>'Point List'!J160</f>
        <v>0</v>
      </c>
    </row>
    <row r="132" spans="1:5" x14ac:dyDescent="0.3">
      <c r="A132">
        <f>'Point List'!C161</f>
        <v>0</v>
      </c>
      <c r="C132">
        <f>'Point List'!L161</f>
        <v>0</v>
      </c>
      <c r="D132" t="s">
        <v>220</v>
      </c>
      <c r="E132">
        <f>'Point List'!J161</f>
        <v>0</v>
      </c>
    </row>
    <row r="133" spans="1:5" x14ac:dyDescent="0.3">
      <c r="A133">
        <f>'Point List'!C162</f>
        <v>0</v>
      </c>
      <c r="C133">
        <f>'Point List'!L162</f>
        <v>0</v>
      </c>
      <c r="D133" t="s">
        <v>220</v>
      </c>
      <c r="E133">
        <f>'Point List'!J162</f>
        <v>0</v>
      </c>
    </row>
    <row r="134" spans="1:5" x14ac:dyDescent="0.3">
      <c r="A134">
        <f>'Point List'!C163</f>
        <v>0</v>
      </c>
      <c r="C134">
        <f>'Point List'!L163</f>
        <v>0</v>
      </c>
      <c r="D134" t="s">
        <v>220</v>
      </c>
      <c r="E134">
        <f>'Point List'!J163</f>
        <v>0</v>
      </c>
    </row>
    <row r="135" spans="1:5" x14ac:dyDescent="0.3">
      <c r="A135">
        <f>'Point List'!C164</f>
        <v>0</v>
      </c>
      <c r="C135">
        <f>'Point List'!L164</f>
        <v>0</v>
      </c>
      <c r="D135" t="s">
        <v>220</v>
      </c>
      <c r="E135">
        <f>'Point List'!J164</f>
        <v>0</v>
      </c>
    </row>
    <row r="136" spans="1:5" x14ac:dyDescent="0.3">
      <c r="A136">
        <f>'Point List'!C165</f>
        <v>0</v>
      </c>
      <c r="C136">
        <f>'Point List'!L165</f>
        <v>0</v>
      </c>
      <c r="D136" t="s">
        <v>220</v>
      </c>
      <c r="E136">
        <f>'Point List'!J165</f>
        <v>0</v>
      </c>
    </row>
    <row r="137" spans="1:5" x14ac:dyDescent="0.3">
      <c r="A137">
        <f>'Point List'!C166</f>
        <v>0</v>
      </c>
      <c r="C137">
        <f>'Point List'!L166</f>
        <v>0</v>
      </c>
      <c r="D137" t="s">
        <v>220</v>
      </c>
      <c r="E137">
        <f>'Point List'!J166</f>
        <v>0</v>
      </c>
    </row>
    <row r="138" spans="1:5" x14ac:dyDescent="0.3">
      <c r="A138">
        <f>'Point List'!C167</f>
        <v>0</v>
      </c>
      <c r="C138">
        <f>'Point List'!L167</f>
        <v>0</v>
      </c>
      <c r="D138" t="s">
        <v>220</v>
      </c>
      <c r="E138">
        <f>'Point List'!J167</f>
        <v>0</v>
      </c>
    </row>
    <row r="139" spans="1:5" x14ac:dyDescent="0.3">
      <c r="A139">
        <f>'Point List'!C168</f>
        <v>0</v>
      </c>
      <c r="C139">
        <f>'Point List'!L168</f>
        <v>0</v>
      </c>
      <c r="D139" t="s">
        <v>220</v>
      </c>
      <c r="E139">
        <f>'Point List'!J168</f>
        <v>0</v>
      </c>
    </row>
    <row r="140" spans="1:5" x14ac:dyDescent="0.3">
      <c r="A140">
        <f>'Point List'!C169</f>
        <v>0</v>
      </c>
      <c r="C140">
        <f>'Point List'!L169</f>
        <v>0</v>
      </c>
      <c r="D140" t="s">
        <v>220</v>
      </c>
      <c r="E140">
        <f>'Point List'!J169</f>
        <v>0</v>
      </c>
    </row>
    <row r="141" spans="1:5" x14ac:dyDescent="0.3">
      <c r="A141">
        <f>'Point List'!C170</f>
        <v>0</v>
      </c>
      <c r="C141">
        <f>'Point List'!L170</f>
        <v>0</v>
      </c>
      <c r="D141" t="s">
        <v>220</v>
      </c>
      <c r="E141">
        <f>'Point List'!J170</f>
        <v>0</v>
      </c>
    </row>
    <row r="142" spans="1:5" x14ac:dyDescent="0.3">
      <c r="A142">
        <f>'Point List'!C171</f>
        <v>0</v>
      </c>
      <c r="C142">
        <f>'Point List'!L171</f>
        <v>0</v>
      </c>
      <c r="D142" t="s">
        <v>220</v>
      </c>
      <c r="E142">
        <f>'Point List'!J171</f>
        <v>0</v>
      </c>
    </row>
    <row r="143" spans="1:5" x14ac:dyDescent="0.3">
      <c r="A143">
        <f>'Point List'!C172</f>
        <v>0</v>
      </c>
      <c r="C143">
        <f>'Point List'!L172</f>
        <v>0</v>
      </c>
      <c r="D143" t="s">
        <v>220</v>
      </c>
      <c r="E143">
        <f>'Point List'!J172</f>
        <v>0</v>
      </c>
    </row>
    <row r="144" spans="1:5" x14ac:dyDescent="0.3">
      <c r="A144">
        <f>'Point List'!C173</f>
        <v>0</v>
      </c>
      <c r="C144">
        <f>'Point List'!L173</f>
        <v>0</v>
      </c>
      <c r="D144" t="s">
        <v>220</v>
      </c>
      <c r="E144">
        <f>'Point List'!J173</f>
        <v>0</v>
      </c>
    </row>
    <row r="145" spans="1:5" x14ac:dyDescent="0.3">
      <c r="A145">
        <f>'Point List'!C174</f>
        <v>0</v>
      </c>
      <c r="C145">
        <f>'Point List'!L174</f>
        <v>0</v>
      </c>
      <c r="D145" t="s">
        <v>220</v>
      </c>
      <c r="E145">
        <f>'Point List'!J174</f>
        <v>0</v>
      </c>
    </row>
    <row r="146" spans="1:5" x14ac:dyDescent="0.3">
      <c r="A146">
        <f>'Point List'!C175</f>
        <v>0</v>
      </c>
      <c r="C146">
        <f>'Point List'!L175</f>
        <v>0</v>
      </c>
      <c r="D146" t="s">
        <v>220</v>
      </c>
      <c r="E146">
        <f>'Point List'!J175</f>
        <v>0</v>
      </c>
    </row>
    <row r="147" spans="1:5" x14ac:dyDescent="0.3">
      <c r="A147">
        <f>'Point List'!C176</f>
        <v>0</v>
      </c>
      <c r="C147">
        <f>'Point List'!L176</f>
        <v>0</v>
      </c>
      <c r="D147" t="s">
        <v>220</v>
      </c>
      <c r="E147">
        <f>'Point List'!J176</f>
        <v>0</v>
      </c>
    </row>
    <row r="148" spans="1:5" x14ac:dyDescent="0.3">
      <c r="A148">
        <f>'Point List'!C177</f>
        <v>0</v>
      </c>
      <c r="C148">
        <f>'Point List'!L177</f>
        <v>0</v>
      </c>
      <c r="D148" t="s">
        <v>220</v>
      </c>
      <c r="E148">
        <f>'Point List'!J177</f>
        <v>0</v>
      </c>
    </row>
    <row r="149" spans="1:5" x14ac:dyDescent="0.3">
      <c r="A149">
        <f>'Point List'!C178</f>
        <v>0</v>
      </c>
      <c r="C149">
        <f>'Point List'!L178</f>
        <v>0</v>
      </c>
      <c r="D149" t="s">
        <v>220</v>
      </c>
      <c r="E149">
        <f>'Point List'!J178</f>
        <v>0</v>
      </c>
    </row>
    <row r="150" spans="1:5" x14ac:dyDescent="0.3">
      <c r="A150">
        <f>'Point List'!C179</f>
        <v>0</v>
      </c>
      <c r="C150">
        <f>'Point List'!L179</f>
        <v>0</v>
      </c>
      <c r="D150" t="s">
        <v>220</v>
      </c>
      <c r="E150">
        <f>'Point List'!J179</f>
        <v>0</v>
      </c>
    </row>
    <row r="151" spans="1:5" x14ac:dyDescent="0.3">
      <c r="A151">
        <f>'Point List'!C180</f>
        <v>0</v>
      </c>
      <c r="C151">
        <f>'Point List'!L180</f>
        <v>0</v>
      </c>
      <c r="D151" t="s">
        <v>220</v>
      </c>
      <c r="E151">
        <f>'Point List'!J180</f>
        <v>0</v>
      </c>
    </row>
    <row r="152" spans="1:5" x14ac:dyDescent="0.3">
      <c r="A152">
        <f>'Point List'!C181</f>
        <v>0</v>
      </c>
      <c r="C152">
        <f>'Point List'!L181</f>
        <v>0</v>
      </c>
      <c r="D152" t="s">
        <v>220</v>
      </c>
      <c r="E152">
        <f>'Point List'!J181</f>
        <v>0</v>
      </c>
    </row>
    <row r="153" spans="1:5" x14ac:dyDescent="0.3">
      <c r="A153">
        <f>'Point List'!C182</f>
        <v>0</v>
      </c>
      <c r="C153">
        <f>'Point List'!L182</f>
        <v>0</v>
      </c>
      <c r="D153" t="s">
        <v>220</v>
      </c>
      <c r="E153">
        <f>'Point List'!J182</f>
        <v>0</v>
      </c>
    </row>
    <row r="154" spans="1:5" x14ac:dyDescent="0.3">
      <c r="A154">
        <f>'Point List'!C183</f>
        <v>0</v>
      </c>
      <c r="C154">
        <f>'Point List'!L183</f>
        <v>0</v>
      </c>
      <c r="D154" t="s">
        <v>220</v>
      </c>
      <c r="E154">
        <f>'Point List'!J183</f>
        <v>0</v>
      </c>
    </row>
    <row r="155" spans="1:5" x14ac:dyDescent="0.3">
      <c r="A155">
        <f>'Point List'!C184</f>
        <v>0</v>
      </c>
      <c r="C155">
        <f>'Point List'!L184</f>
        <v>0</v>
      </c>
      <c r="D155" t="s">
        <v>220</v>
      </c>
      <c r="E155">
        <f>'Point List'!J184</f>
        <v>0</v>
      </c>
    </row>
    <row r="156" spans="1:5" x14ac:dyDescent="0.3">
      <c r="A156">
        <f>'Point List'!C185</f>
        <v>0</v>
      </c>
      <c r="C156">
        <f>'Point List'!L185</f>
        <v>0</v>
      </c>
      <c r="D156" t="s">
        <v>220</v>
      </c>
      <c r="E156">
        <f>'Point List'!J185</f>
        <v>0</v>
      </c>
    </row>
    <row r="157" spans="1:5" x14ac:dyDescent="0.3">
      <c r="A157">
        <f>'Point List'!C186</f>
        <v>0</v>
      </c>
      <c r="C157">
        <f>'Point List'!L186</f>
        <v>0</v>
      </c>
      <c r="D157" t="s">
        <v>220</v>
      </c>
      <c r="E157">
        <f>'Point List'!J186</f>
        <v>0</v>
      </c>
    </row>
    <row r="158" spans="1:5" x14ac:dyDescent="0.3">
      <c r="A158">
        <f>'Point List'!C187</f>
        <v>0</v>
      </c>
      <c r="C158">
        <f>'Point List'!L187</f>
        <v>0</v>
      </c>
      <c r="D158" t="s">
        <v>220</v>
      </c>
      <c r="E158">
        <f>'Point List'!J187</f>
        <v>0</v>
      </c>
    </row>
    <row r="159" spans="1:5" x14ac:dyDescent="0.3">
      <c r="A159">
        <f>'Point List'!C188</f>
        <v>0</v>
      </c>
      <c r="C159">
        <f>'Point List'!L188</f>
        <v>0</v>
      </c>
      <c r="D159" t="s">
        <v>220</v>
      </c>
      <c r="E159">
        <f>'Point List'!J188</f>
        <v>0</v>
      </c>
    </row>
    <row r="160" spans="1:5" x14ac:dyDescent="0.3">
      <c r="A160">
        <f>'Point List'!C189</f>
        <v>0</v>
      </c>
      <c r="C160">
        <f>'Point List'!L189</f>
        <v>0</v>
      </c>
      <c r="D160" t="s">
        <v>220</v>
      </c>
      <c r="E160">
        <f>'Point List'!J189</f>
        <v>0</v>
      </c>
    </row>
    <row r="161" spans="1:5" x14ac:dyDescent="0.3">
      <c r="A161">
        <f>'Point List'!C190</f>
        <v>0</v>
      </c>
      <c r="C161">
        <f>'Point List'!L190</f>
        <v>0</v>
      </c>
      <c r="D161" t="s">
        <v>220</v>
      </c>
      <c r="E161">
        <f>'Point List'!J190</f>
        <v>0</v>
      </c>
    </row>
    <row r="162" spans="1:5" x14ac:dyDescent="0.3">
      <c r="A162">
        <f>'Point List'!C191</f>
        <v>0</v>
      </c>
      <c r="C162">
        <f>'Point List'!L191</f>
        <v>0</v>
      </c>
      <c r="D162" t="s">
        <v>220</v>
      </c>
      <c r="E162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2026-10-11T23:31:29Z</dcterms:modified>
</cp:coreProperties>
</file>