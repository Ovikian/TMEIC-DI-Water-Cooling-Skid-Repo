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96325486694b1ce6/Documents/GitHub/TMEIC-DI-Water-Cooling-Skid-Repo/Documentation/"/>
    </mc:Choice>
  </mc:AlternateContent>
  <xr:revisionPtr revIDLastSave="683" documentId="11_796C421E84FB48855BB0FC3EBB1F0B72633B0612" xr6:coauthVersionLast="47" xr6:coauthVersionMax="47" xr10:uidLastSave="{A11C8230-6EF5-4368-ABD4-FE67B0E09BA7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rfKrMs4lDiuXVCdzkXtVU6oJ2skGT9O+eEH13pZMp4M="/>
    </ext>
  </extLst>
</workbook>
</file>

<file path=xl/calcChain.xml><?xml version="1.0" encoding="utf-8"?>
<calcChain xmlns="http://schemas.openxmlformats.org/spreadsheetml/2006/main">
  <c r="P69" i="1" l="1"/>
  <c r="P68" i="1"/>
  <c r="P52" i="1"/>
  <c r="P51" i="1"/>
  <c r="P24" i="1"/>
  <c r="P23" i="1"/>
  <c r="P49" i="1"/>
  <c r="P43" i="1"/>
  <c r="P20" i="1"/>
  <c r="P19" i="1"/>
  <c r="P4" i="1"/>
  <c r="P3" i="1"/>
  <c r="X3" i="1"/>
  <c r="X4" i="1" s="1"/>
  <c r="X5" i="1" s="1"/>
  <c r="X6" i="1" s="1"/>
  <c r="X7" i="1" s="1"/>
  <c r="X8" i="1" s="1"/>
  <c r="X9" i="1" s="1"/>
  <c r="X10" i="1" s="1"/>
  <c r="X11" i="1" s="1"/>
  <c r="X12" i="1" s="1"/>
  <c r="X13" i="1" s="1"/>
  <c r="X14" i="1" s="1"/>
  <c r="X15" i="1" s="1"/>
  <c r="X16" i="1" s="1"/>
  <c r="X17" i="1" s="1"/>
  <c r="X18" i="1" s="1"/>
  <c r="X19" i="1" s="1"/>
  <c r="X20" i="1" s="1"/>
  <c r="X21" i="1" s="1"/>
  <c r="X22" i="1" s="1"/>
  <c r="X23" i="1" s="1"/>
  <c r="X24" i="1" s="1"/>
  <c r="X25" i="1" s="1"/>
  <c r="X26" i="1" s="1"/>
  <c r="X27" i="1" s="1"/>
  <c r="X28" i="1" s="1"/>
  <c r="X29" i="1" s="1"/>
  <c r="X30" i="1" s="1"/>
  <c r="X31" i="1" s="1"/>
  <c r="X32" i="1" s="1"/>
  <c r="X33" i="1" s="1"/>
  <c r="X34" i="1" s="1"/>
  <c r="X35" i="1" s="1"/>
  <c r="X36" i="1" s="1"/>
  <c r="X37" i="1" s="1"/>
  <c r="X38" i="1" s="1"/>
  <c r="X39" i="1" s="1"/>
  <c r="X40" i="1" s="1"/>
  <c r="X41" i="1" s="1"/>
  <c r="X42" i="1" s="1"/>
  <c r="X43" i="1" s="1"/>
  <c r="X44" i="1" s="1"/>
  <c r="X45" i="1" s="1"/>
  <c r="X46" i="1" s="1"/>
  <c r="X47" i="1" s="1"/>
  <c r="X48" i="1" s="1"/>
  <c r="X49" i="1" s="1"/>
  <c r="X50" i="1" s="1"/>
  <c r="X51" i="1" s="1"/>
  <c r="X52" i="1" s="1"/>
  <c r="X53" i="1" s="1"/>
  <c r="X54" i="1" s="1"/>
  <c r="X55" i="1" s="1"/>
  <c r="X56" i="1" s="1"/>
  <c r="X57" i="1" s="1"/>
  <c r="X58" i="1" s="1"/>
  <c r="X59" i="1" s="1"/>
  <c r="X60" i="1" s="1"/>
  <c r="X61" i="1" s="1"/>
  <c r="X62" i="1" s="1"/>
  <c r="X63" i="1" s="1"/>
  <c r="X64" i="1" s="1"/>
  <c r="X65" i="1" s="1"/>
  <c r="X66" i="1" s="1"/>
  <c r="X67" i="1" s="1"/>
  <c r="X68" i="1" s="1"/>
  <c r="X69" i="1" s="1"/>
  <c r="X70" i="1" s="1"/>
  <c r="X71" i="1" s="1"/>
  <c r="X72" i="1" s="1"/>
  <c r="X73" i="1" s="1"/>
  <c r="X74" i="1" s="1"/>
  <c r="X75" i="1" s="1"/>
  <c r="X76" i="1" s="1"/>
  <c r="X77" i="1" s="1"/>
  <c r="X78" i="1" s="1"/>
  <c r="X79" i="1" s="1"/>
  <c r="X80" i="1" s="1"/>
  <c r="X81" i="1" s="1"/>
  <c r="X82" i="1" s="1"/>
  <c r="X83" i="1" s="1"/>
  <c r="X84" i="1" s="1"/>
  <c r="X85" i="1" s="1"/>
  <c r="X86" i="1" s="1"/>
  <c r="X87" i="1" s="1"/>
  <c r="X88" i="1" s="1"/>
  <c r="X89" i="1" s="1"/>
  <c r="X90" i="1" s="1"/>
  <c r="X91" i="1" s="1"/>
  <c r="X92" i="1" s="1"/>
  <c r="X93" i="1" s="1"/>
  <c r="X94" i="1" s="1"/>
  <c r="X95" i="1" s="1"/>
  <c r="X96" i="1" s="1"/>
  <c r="X97" i="1" s="1"/>
  <c r="X98" i="1" s="1"/>
  <c r="X2" i="1"/>
  <c r="W100" i="1"/>
  <c r="W101" i="1"/>
  <c r="W102" i="1"/>
  <c r="W103" i="1"/>
  <c r="W104" i="1" s="1"/>
  <c r="W105" i="1" s="1"/>
  <c r="W106" i="1" s="1"/>
  <c r="W107" i="1" s="1"/>
  <c r="W108" i="1" s="1"/>
  <c r="W109" i="1" s="1"/>
  <c r="W110" i="1" s="1"/>
  <c r="W111" i="1" s="1"/>
  <c r="W112" i="1" s="1"/>
  <c r="W99" i="1"/>
  <c r="G3" i="1"/>
  <c r="I3" i="1"/>
  <c r="P76" i="1" l="1"/>
  <c r="P65" i="1"/>
  <c r="P75" i="1"/>
  <c r="P70" i="1"/>
  <c r="P62" i="1"/>
  <c r="P73" i="1"/>
  <c r="P57" i="1"/>
  <c r="P72" i="1"/>
  <c r="P64" i="1"/>
  <c r="P74" i="1"/>
  <c r="P54" i="1"/>
  <c r="P71" i="1"/>
  <c r="P60" i="1"/>
  <c r="P67" i="1"/>
  <c r="P59" i="1"/>
  <c r="P66" i="1"/>
  <c r="P58" i="1"/>
  <c r="P56" i="1"/>
  <c r="P63" i="1"/>
  <c r="P55" i="1"/>
  <c r="P61" i="1"/>
  <c r="P53" i="1"/>
  <c r="P31" i="1"/>
  <c r="P28" i="1"/>
  <c r="P48" i="1"/>
  <c r="P29" i="1"/>
  <c r="P30" i="1"/>
  <c r="P32" i="1"/>
  <c r="P25" i="1"/>
  <c r="P45" i="1"/>
  <c r="P26" i="1"/>
  <c r="P46" i="1"/>
  <c r="P27" i="1"/>
  <c r="P47" i="1"/>
  <c r="P50" i="1"/>
  <c r="P34" i="1"/>
  <c r="P44" i="1"/>
  <c r="P36" i="1"/>
  <c r="P37" i="1"/>
  <c r="P38" i="1"/>
  <c r="P21" i="1"/>
  <c r="P22" i="1"/>
  <c r="P40" i="1"/>
  <c r="P39" i="1"/>
  <c r="P33" i="1"/>
  <c r="P41" i="1"/>
  <c r="P35" i="1"/>
  <c r="P42" i="1"/>
  <c r="P12" i="1"/>
  <c r="P11" i="1"/>
  <c r="P10" i="1"/>
  <c r="P17" i="1"/>
  <c r="P9" i="1"/>
  <c r="P16" i="1"/>
  <c r="P14" i="1"/>
  <c r="P6" i="1"/>
  <c r="P18" i="1"/>
  <c r="P8" i="1"/>
  <c r="P15" i="1"/>
  <c r="P7" i="1"/>
  <c r="P13" i="1"/>
  <c r="P5" i="1"/>
  <c r="H4" i="1"/>
  <c r="G4" i="1" s="1"/>
  <c r="I4" i="1" l="1"/>
  <c r="H5" i="1"/>
  <c r="G5" i="1" s="1"/>
  <c r="H6" i="1" l="1"/>
  <c r="G6" i="1" s="1"/>
  <c r="I5" i="1"/>
  <c r="H7" i="1" l="1"/>
  <c r="G7" i="1" s="1"/>
  <c r="I6" i="1"/>
  <c r="H8" i="1" l="1"/>
  <c r="G8" i="1" s="1"/>
  <c r="I7" i="1"/>
  <c r="H9" i="1" l="1"/>
  <c r="G9" i="1" s="1"/>
  <c r="I8" i="1"/>
  <c r="H10" i="1" l="1"/>
  <c r="G10" i="1" s="1"/>
  <c r="I9" i="1"/>
  <c r="H11" i="1" l="1"/>
  <c r="G11" i="1" s="1"/>
  <c r="I10" i="1"/>
  <c r="H12" i="1" l="1"/>
  <c r="G12" i="1" s="1"/>
  <c r="I11" i="1"/>
  <c r="H13" i="1" l="1"/>
  <c r="G13" i="1" s="1"/>
  <c r="I12" i="1"/>
  <c r="H14" i="1" l="1"/>
  <c r="G14" i="1" s="1"/>
  <c r="I13" i="1"/>
  <c r="H15" i="1" l="1"/>
  <c r="G15" i="1" s="1"/>
  <c r="I14" i="1"/>
  <c r="H16" i="1" l="1"/>
  <c r="I15" i="1"/>
  <c r="H17" i="1" l="1"/>
  <c r="G17" i="1" s="1"/>
  <c r="G16" i="1"/>
  <c r="I16" i="1"/>
  <c r="H18" i="1" l="1"/>
  <c r="G18" i="1" s="1"/>
  <c r="I17" i="1"/>
  <c r="H19" i="1" l="1"/>
  <c r="G19" i="1" s="1"/>
  <c r="I18" i="1"/>
  <c r="I19" i="1" l="1"/>
  <c r="H20" i="1"/>
  <c r="G20" i="1" l="1"/>
  <c r="H21" i="1"/>
  <c r="I20" i="1"/>
  <c r="G21" i="1" l="1"/>
  <c r="I21" i="1"/>
  <c r="H22" i="1"/>
  <c r="G22" i="1" l="1"/>
  <c r="H33" i="1"/>
  <c r="I22" i="1"/>
  <c r="G33" i="1" l="1"/>
  <c r="I33" i="1"/>
  <c r="H34" i="1"/>
  <c r="G34" i="1" l="1"/>
  <c r="I34" i="1"/>
  <c r="H35" i="1"/>
  <c r="G35" i="1" l="1"/>
  <c r="H36" i="1"/>
  <c r="I35" i="1"/>
  <c r="G36" i="1" l="1"/>
  <c r="I36" i="1"/>
  <c r="H37" i="1"/>
  <c r="G37" i="1" l="1"/>
  <c r="H38" i="1"/>
  <c r="I37" i="1"/>
  <c r="G38" i="1" l="1"/>
  <c r="H39" i="1"/>
  <c r="I38" i="1"/>
  <c r="G39" i="1" l="1"/>
  <c r="H40" i="1"/>
  <c r="I39" i="1"/>
  <c r="G40" i="1" l="1"/>
  <c r="H41" i="1"/>
  <c r="I40" i="1"/>
  <c r="G41" i="1" l="1"/>
  <c r="H42" i="1"/>
  <c r="I41" i="1"/>
  <c r="G42" i="1" l="1"/>
  <c r="I42" i="1"/>
  <c r="H44" i="1"/>
  <c r="H51" i="1" s="1"/>
  <c r="I44" i="1" l="1"/>
  <c r="G44" i="1"/>
  <c r="I51" i="1"/>
  <c r="G51" i="1"/>
  <c r="H52" i="1"/>
  <c r="I52" i="1" l="1"/>
  <c r="G52" i="1"/>
  <c r="H53" i="1"/>
  <c r="G53" i="1" l="1"/>
  <c r="I53" i="1"/>
  <c r="H54" i="1"/>
  <c r="I54" i="1" l="1"/>
  <c r="G54" i="1"/>
  <c r="H55" i="1"/>
  <c r="H56" i="1" l="1"/>
  <c r="I55" i="1"/>
  <c r="G55" i="1"/>
  <c r="H57" i="1" l="1"/>
  <c r="I56" i="1"/>
  <c r="G56" i="1"/>
  <c r="I57" i="1" l="1"/>
  <c r="H58" i="1"/>
  <c r="G57" i="1"/>
  <c r="H59" i="1" l="1"/>
  <c r="G58" i="1"/>
  <c r="I58" i="1"/>
  <c r="I59" i="1" l="1"/>
  <c r="G59" i="1"/>
  <c r="H60" i="1"/>
  <c r="H61" i="1" l="1"/>
  <c r="I60" i="1"/>
  <c r="G60" i="1"/>
  <c r="G61" i="1" l="1"/>
  <c r="I61" i="1"/>
  <c r="H62" i="1"/>
  <c r="I62" i="1" l="1"/>
  <c r="H63" i="1"/>
  <c r="G62" i="1"/>
  <c r="H64" i="1" l="1"/>
  <c r="I63" i="1"/>
  <c r="G63" i="1"/>
  <c r="H65" i="1" l="1"/>
  <c r="I64" i="1"/>
  <c r="G64" i="1"/>
  <c r="G65" i="1" l="1"/>
  <c r="I65" i="1"/>
  <c r="H66" i="1"/>
  <c r="I66" i="1" l="1"/>
  <c r="H67" i="1"/>
  <c r="G66" i="1"/>
  <c r="G67" i="1" l="1"/>
  <c r="H68" i="1"/>
  <c r="I67" i="1"/>
  <c r="G68" i="1" l="1"/>
  <c r="I68" i="1"/>
  <c r="H69" i="1"/>
  <c r="I69" i="1" l="1"/>
  <c r="G69" i="1"/>
  <c r="H70" i="1"/>
  <c r="G70" i="1" l="1"/>
  <c r="H71" i="1"/>
  <c r="I70" i="1"/>
  <c r="H72" i="1" l="1"/>
  <c r="G71" i="1"/>
  <c r="I71" i="1"/>
  <c r="H73" i="1" l="1"/>
  <c r="G72" i="1"/>
  <c r="I72" i="1"/>
  <c r="I73" i="1" l="1"/>
  <c r="H74" i="1"/>
  <c r="G73" i="1"/>
  <c r="I74" i="1" l="1"/>
  <c r="G74" i="1"/>
  <c r="H75" i="1"/>
  <c r="I75" i="1" l="1"/>
  <c r="H76" i="1"/>
  <c r="G75" i="1"/>
  <c r="G76" i="1" l="1"/>
  <c r="H43" i="1"/>
  <c r="I76" i="1"/>
  <c r="G43" i="1" l="1"/>
  <c r="I43" i="1"/>
  <c r="H49" i="1"/>
  <c r="I49" i="1" l="1"/>
  <c r="H50" i="1"/>
  <c r="G49" i="1"/>
  <c r="H23" i="1" l="1"/>
  <c r="I50" i="1"/>
  <c r="G50" i="1"/>
  <c r="H24" i="1" l="1"/>
  <c r="G23" i="1"/>
  <c r="I23" i="1"/>
  <c r="I24" i="1" l="1"/>
  <c r="G24" i="1"/>
  <c r="H25" i="1"/>
  <c r="H26" i="1" l="1"/>
  <c r="I25" i="1"/>
  <c r="G25" i="1"/>
  <c r="I26" i="1" l="1"/>
  <c r="H27" i="1"/>
  <c r="G26" i="1"/>
  <c r="I27" i="1" l="1"/>
  <c r="H28" i="1"/>
  <c r="G27" i="1"/>
  <c r="H29" i="1" l="1"/>
  <c r="I28" i="1"/>
  <c r="G28" i="1"/>
  <c r="G29" i="1" l="1"/>
  <c r="H30" i="1"/>
  <c r="I29" i="1"/>
  <c r="H31" i="1" l="1"/>
  <c r="G30" i="1"/>
  <c r="I30" i="1"/>
  <c r="H32" i="1" l="1"/>
  <c r="I31" i="1"/>
  <c r="G31" i="1"/>
  <c r="G32" i="1" l="1"/>
  <c r="H45" i="1"/>
  <c r="I32" i="1"/>
  <c r="I45" i="1" l="1"/>
  <c r="H46" i="1"/>
  <c r="G45" i="1"/>
  <c r="H47" i="1" l="1"/>
  <c r="I46" i="1"/>
  <c r="G46" i="1"/>
  <c r="I47" i="1" l="1"/>
  <c r="H48" i="1"/>
  <c r="G47" i="1"/>
  <c r="I48" i="1" l="1"/>
  <c r="G48" i="1"/>
</calcChain>
</file>

<file path=xl/sharedStrings.xml><?xml version="1.0" encoding="utf-8"?>
<sst xmlns="http://schemas.openxmlformats.org/spreadsheetml/2006/main" count="1402" uniqueCount="351">
  <si>
    <t>Signal Type</t>
  </si>
  <si>
    <t>Tag No</t>
  </si>
  <si>
    <t>Name</t>
  </si>
  <si>
    <t>Modbus Address</t>
  </si>
  <si>
    <t>I/O</t>
  </si>
  <si>
    <t>Global Variable</t>
  </si>
  <si>
    <t>Program Variable Name</t>
  </si>
  <si>
    <t>Operator Visiblity</t>
  </si>
  <si>
    <t>Switch</t>
  </si>
  <si>
    <t>SW-1</t>
  </si>
  <si>
    <t>System Start</t>
  </si>
  <si>
    <t>BOOL</t>
  </si>
  <si>
    <t>N/A</t>
  </si>
  <si>
    <t>NO</t>
  </si>
  <si>
    <t>SW-2</t>
  </si>
  <si>
    <t>System Shutdown</t>
  </si>
  <si>
    <t>SW-3</t>
  </si>
  <si>
    <t>Simplex Mode</t>
  </si>
  <si>
    <t>SW-4</t>
  </si>
  <si>
    <t>Manual Turnover</t>
  </si>
  <si>
    <t>SW-5</t>
  </si>
  <si>
    <t>Enable Manual Valve Control</t>
  </si>
  <si>
    <t>SW-6</t>
  </si>
  <si>
    <t>Enable Manual Fan Control</t>
  </si>
  <si>
    <t>SW-7</t>
  </si>
  <si>
    <t>Force Valve Open/Close</t>
  </si>
  <si>
    <t>SW-8</t>
  </si>
  <si>
    <t>Force Fan 1 On/Off</t>
  </si>
  <si>
    <t>SW-9</t>
  </si>
  <si>
    <t>Force Fan 2 On/Off</t>
  </si>
  <si>
    <t>SW-10</t>
  </si>
  <si>
    <t>Primary Hydraulic Fault ACK</t>
  </si>
  <si>
    <t>SW-11</t>
  </si>
  <si>
    <t>Secondary Hydraulic Fault ACK</t>
  </si>
  <si>
    <t>SW-12</t>
  </si>
  <si>
    <t>Enable Pump Cycling</t>
  </si>
  <si>
    <t>SW-13</t>
  </si>
  <si>
    <t>Reset Pump Differential Signal</t>
  </si>
  <si>
    <t>SW-14</t>
  </si>
  <si>
    <t>Fault ACK</t>
  </si>
  <si>
    <t>Internal</t>
  </si>
  <si>
    <t>SIG-1</t>
  </si>
  <si>
    <t>System On</t>
  </si>
  <si>
    <t>SIG-2</t>
  </si>
  <si>
    <t>System Shutting Down</t>
  </si>
  <si>
    <t>SIG-3</t>
  </si>
  <si>
    <t>System Initializing</t>
  </si>
  <si>
    <t>SIG-4</t>
  </si>
  <si>
    <t>System Calibrating</t>
  </si>
  <si>
    <t>SIG-5</t>
  </si>
  <si>
    <t>Measured Pump Power</t>
  </si>
  <si>
    <t>SIG-6</t>
  </si>
  <si>
    <t>Measured Inlet Coolant Temperature</t>
  </si>
  <si>
    <t>REAL</t>
  </si>
  <si>
    <t>SIG-7</t>
  </si>
  <si>
    <t>Measured Conductivity</t>
  </si>
  <si>
    <t>SIG-8</t>
  </si>
  <si>
    <t>Measured Flow</t>
  </si>
  <si>
    <t>SIG-9</t>
  </si>
  <si>
    <t>Valve Open Percentage</t>
  </si>
  <si>
    <t>SIG-10</t>
  </si>
  <si>
    <t>Real RTD 1 Signal</t>
  </si>
  <si>
    <t>SIG-11</t>
  </si>
  <si>
    <t>Real RTD 2 Signal</t>
  </si>
  <si>
    <t>SIG-12</t>
  </si>
  <si>
    <t>Real RTD 3 Signal</t>
  </si>
  <si>
    <t>SIG-13</t>
  </si>
  <si>
    <t>SIG-14</t>
  </si>
  <si>
    <t>SIG-15</t>
  </si>
  <si>
    <t>Debounced Water Level Low Signal</t>
  </si>
  <si>
    <t>SIG-16</t>
  </si>
  <si>
    <t>Debounced Water Level Low Low Signal</t>
  </si>
  <si>
    <t>SIG-17</t>
  </si>
  <si>
    <t>Debounced Pressure Signal</t>
  </si>
  <si>
    <t>SIG-18</t>
  </si>
  <si>
    <t>Debounced Conductivity Alarm Signal</t>
  </si>
  <si>
    <t>SIG-19</t>
  </si>
  <si>
    <t>Debounced Conductivity Fault Signal</t>
  </si>
  <si>
    <t>SIG-20</t>
  </si>
  <si>
    <t>Output Water Level Low Signal</t>
  </si>
  <si>
    <t>SIG-21</t>
  </si>
  <si>
    <t>Output Water Level Low Low Signal</t>
  </si>
  <si>
    <t>SIG-22</t>
  </si>
  <si>
    <t>Output Pressure Signal</t>
  </si>
  <si>
    <t>SIG-23</t>
  </si>
  <si>
    <t>Output Conductivity Alarm Signal</t>
  </si>
  <si>
    <t>SIG-24</t>
  </si>
  <si>
    <t>Output Conductivity Fault Signal</t>
  </si>
  <si>
    <t>SIG-25</t>
  </si>
  <si>
    <t>Alarm</t>
  </si>
  <si>
    <t>ALM-1</t>
  </si>
  <si>
    <t xml:space="preserve">High Coolant Temperature </t>
  </si>
  <si>
    <t>ALM-2</t>
  </si>
  <si>
    <t>Low Coolant Level in Vessel</t>
  </si>
  <si>
    <t>ALM-3</t>
  </si>
  <si>
    <t xml:space="preserve">High Coolant Conductivity </t>
  </si>
  <si>
    <t>ALM-4</t>
  </si>
  <si>
    <t>Low Hydraulic Power</t>
  </si>
  <si>
    <t>ALM-5</t>
  </si>
  <si>
    <t>Low Hydraulic Flow</t>
  </si>
  <si>
    <t>ALM-6</t>
  </si>
  <si>
    <t>Low Hydraulic Pressure</t>
  </si>
  <si>
    <t>ALM-7</t>
  </si>
  <si>
    <t>Primary Power Signal Malfunction</t>
  </si>
  <si>
    <t>ALM-8</t>
  </si>
  <si>
    <t>Secondary Power Signal Malfunction</t>
  </si>
  <si>
    <t>ALM-9</t>
  </si>
  <si>
    <t>Primary Hydraulic Failure</t>
  </si>
  <si>
    <t>ALM-10</t>
  </si>
  <si>
    <t>Secondary Hydraulic Failure</t>
  </si>
  <si>
    <t>ALM-11</t>
  </si>
  <si>
    <t>Automatic Valve Control Disabled</t>
  </si>
  <si>
    <t>ALM-12</t>
  </si>
  <si>
    <t>Automatic Fan Control Disabled</t>
  </si>
  <si>
    <t>ALM-13</t>
  </si>
  <si>
    <t>Flow Signal Malfunction</t>
  </si>
  <si>
    <t>ALM-14</t>
  </si>
  <si>
    <t>Bad RTD 1 Signal</t>
  </si>
  <si>
    <t>ALM-15</t>
  </si>
  <si>
    <t>Bad RTD 2 Signal</t>
  </si>
  <si>
    <t>ALM-16</t>
  </si>
  <si>
    <t>Bad RTD 3 Signal</t>
  </si>
  <si>
    <t>ALM-17</t>
  </si>
  <si>
    <t>Pump Cycle Alarm</t>
  </si>
  <si>
    <t>Fault</t>
  </si>
  <si>
    <t>FLT-1</t>
  </si>
  <si>
    <t>Critical Temperature</t>
  </si>
  <si>
    <t>FLT-2</t>
  </si>
  <si>
    <t>Critical Vessel Level</t>
  </si>
  <si>
    <t>FLT-3</t>
  </si>
  <si>
    <t>Critical Conductivity</t>
  </si>
  <si>
    <t>FLT-4</t>
  </si>
  <si>
    <t>Level Sensor Malfunction</t>
  </si>
  <si>
    <t>FLT-5</t>
  </si>
  <si>
    <t>Conductivity Sensor Malfunction</t>
  </si>
  <si>
    <t>FLT-6</t>
  </si>
  <si>
    <t>Duplex Failure</t>
  </si>
  <si>
    <t>FLT-7</t>
  </si>
  <si>
    <t>Temperatur Sensor Malfunction</t>
  </si>
  <si>
    <t>FLT-8</t>
  </si>
  <si>
    <t xml:space="preserve">Overflow/EOTW </t>
  </si>
  <si>
    <t>Physical</t>
  </si>
  <si>
    <t>PHY-1</t>
  </si>
  <si>
    <t>Flow Sensor Input</t>
  </si>
  <si>
    <t>WORD</t>
  </si>
  <si>
    <t>YES</t>
  </si>
  <si>
    <t>PHY-2</t>
  </si>
  <si>
    <t>RTD 1</t>
  </si>
  <si>
    <t>INT</t>
  </si>
  <si>
    <t>PHY-3</t>
  </si>
  <si>
    <t>RTD 2</t>
  </si>
  <si>
    <t>PHY-4</t>
  </si>
  <si>
    <t>RTD 3</t>
  </si>
  <si>
    <t>PHY-5</t>
  </si>
  <si>
    <t xml:space="preserve">Pump 1 Power </t>
  </si>
  <si>
    <t>PHY-6</t>
  </si>
  <si>
    <t>Pump 2 Power</t>
  </si>
  <si>
    <t>PHY-7</t>
  </si>
  <si>
    <t xml:space="preserve">Conductivity </t>
  </si>
  <si>
    <t>PHY-8</t>
  </si>
  <si>
    <t>Conductivity Alarm</t>
  </si>
  <si>
    <t>PHY-9</t>
  </si>
  <si>
    <t>Conductivity Fault</t>
  </si>
  <si>
    <t>PHY-10</t>
  </si>
  <si>
    <t>Level Low Switch</t>
  </si>
  <si>
    <t>PHY-11</t>
  </si>
  <si>
    <t>Level Low Low Switch</t>
  </si>
  <si>
    <t>PHY-12</t>
  </si>
  <si>
    <t>Fan 1 Enable</t>
  </si>
  <si>
    <t>PHY-13</t>
  </si>
  <si>
    <t>Fan 2 Enable</t>
  </si>
  <si>
    <t>PHY-14</t>
  </si>
  <si>
    <t>Pump 1 Enable</t>
  </si>
  <si>
    <t>PHY-15</t>
  </si>
  <si>
    <t>Pump 2 Enable</t>
  </si>
  <si>
    <t>PHY-16</t>
  </si>
  <si>
    <t>Valve Actuation Signal</t>
  </si>
  <si>
    <t>PHY-17</t>
  </si>
  <si>
    <t>Pressure Switch Signal</t>
  </si>
  <si>
    <t>PHY-18</t>
  </si>
  <si>
    <t>Pump 1 Voltage</t>
  </si>
  <si>
    <t>PHY-19</t>
  </si>
  <si>
    <t>PHY-20</t>
  </si>
  <si>
    <t>Pump 2 Voltage</t>
  </si>
  <si>
    <t>PHY-21</t>
  </si>
  <si>
    <t>Pump 2 Current</t>
  </si>
  <si>
    <t>SIG-26</t>
  </si>
  <si>
    <t>Deadman</t>
  </si>
  <si>
    <t>SIG-27</t>
  </si>
  <si>
    <t>SIG-28</t>
  </si>
  <si>
    <t>SIG-29</t>
  </si>
  <si>
    <t>SIG-30</t>
  </si>
  <si>
    <t>SIG-31</t>
  </si>
  <si>
    <t>Pump 1 Current</t>
  </si>
  <si>
    <t>SIG-32</t>
  </si>
  <si>
    <t>Measured Pump 1 Voltage</t>
  </si>
  <si>
    <t>Measured Pump 1 Current</t>
  </si>
  <si>
    <t>Measured Pump 2 Voltage</t>
  </si>
  <si>
    <t>Measured Pump 2 Current</t>
  </si>
  <si>
    <t>SW-0</t>
  </si>
  <si>
    <t>Master Switch</t>
  </si>
  <si>
    <t>PDU Hexadecimal</t>
  </si>
  <si>
    <t>Real Pump1 Power Signal</t>
  </si>
  <si>
    <t>Real Pump 2 Power Signal</t>
  </si>
  <si>
    <t>PLC Memory Address</t>
  </si>
  <si>
    <t>DINT</t>
  </si>
  <si>
    <t>OUTPUT</t>
  </si>
  <si>
    <t>INPUT</t>
  </si>
  <si>
    <t>NOT ACCESSIBLE</t>
  </si>
  <si>
    <t>Modicon Address</t>
  </si>
  <si>
    <t>Data Type</t>
  </si>
  <si>
    <t>Memory Type</t>
  </si>
  <si>
    <t>FLT-9</t>
  </si>
  <si>
    <t>Master Fault Signal</t>
  </si>
  <si>
    <t>FLAG</t>
  </si>
  <si>
    <t>Pump 1 Total Hours</t>
  </si>
  <si>
    <t>Pump 2 Total Hours</t>
  </si>
  <si>
    <t>Differential Pump Hours</t>
  </si>
  <si>
    <t>SW-15</t>
  </si>
  <si>
    <t>SW-16</t>
  </si>
  <si>
    <t>Pump 1 EOL Ack</t>
  </si>
  <si>
    <t>Pump 2 EOL Ack</t>
  </si>
  <si>
    <t>INTERNAL I/O</t>
  </si>
  <si>
    <t>%MX0.0</t>
  </si>
  <si>
    <t>%MX4.4</t>
  </si>
  <si>
    <t>%MX0.1</t>
  </si>
  <si>
    <t>%MX0.2</t>
  </si>
  <si>
    <t>%MX0.3</t>
  </si>
  <si>
    <t>%MX0.4</t>
  </si>
  <si>
    <t>%MX0.5</t>
  </si>
  <si>
    <t>%MX0.6</t>
  </si>
  <si>
    <t>%MX0.7</t>
  </si>
  <si>
    <t>%MX1.0</t>
  </si>
  <si>
    <t>%MX1.1</t>
  </si>
  <si>
    <t>%MX1.2</t>
  </si>
  <si>
    <t>%MX1.3</t>
  </si>
  <si>
    <t>%MX1.4</t>
  </si>
  <si>
    <t>%MX1.5</t>
  </si>
  <si>
    <t>%MX1.6</t>
  </si>
  <si>
    <t>%MX1.7</t>
  </si>
  <si>
    <t>%MX2.0</t>
  </si>
  <si>
    <t>%MX2.1</t>
  </si>
  <si>
    <t>%MX2.2</t>
  </si>
  <si>
    <t>%MX2.3</t>
  </si>
  <si>
    <t>%MX2.4</t>
  </si>
  <si>
    <t>%MX2.5</t>
  </si>
  <si>
    <t>%MX2.6</t>
  </si>
  <si>
    <t>%MX2.7</t>
  </si>
  <si>
    <t>%MX3.0</t>
  </si>
  <si>
    <t>%MX3.4</t>
  </si>
  <si>
    <t>%MX3.1</t>
  </si>
  <si>
    <t>%MX3.2</t>
  </si>
  <si>
    <t>%MX3.3</t>
  </si>
  <si>
    <t>%MX3.5</t>
  </si>
  <si>
    <t>%MX3.6</t>
  </si>
  <si>
    <t>%MX3.7</t>
  </si>
  <si>
    <t>System Pulse</t>
  </si>
  <si>
    <t>%MX4.0</t>
  </si>
  <si>
    <t>%MX4.1</t>
  </si>
  <si>
    <t>%MX4.2</t>
  </si>
  <si>
    <t>%MX4.3</t>
  </si>
  <si>
    <t>%MX4.5</t>
  </si>
  <si>
    <t>%MX4.6</t>
  </si>
  <si>
    <t>%MX4.7</t>
  </si>
  <si>
    <t>%MX5.0</t>
  </si>
  <si>
    <t>%MX5.1</t>
  </si>
  <si>
    <t>%MX5.2</t>
  </si>
  <si>
    <t>%MX5.3</t>
  </si>
  <si>
    <t>%MX5.4</t>
  </si>
  <si>
    <t>%MX5.5</t>
  </si>
  <si>
    <t>%MX5.6</t>
  </si>
  <si>
    <t>%MX5.7</t>
  </si>
  <si>
    <t>%MX6.0</t>
  </si>
  <si>
    <t>%MX6.1</t>
  </si>
  <si>
    <t>%MX6.2</t>
  </si>
  <si>
    <t>%MX6.3</t>
  </si>
  <si>
    <t>%MX6.4</t>
  </si>
  <si>
    <t>%MX6.5</t>
  </si>
  <si>
    <t>%MX6.6</t>
  </si>
  <si>
    <t>%MX6.7</t>
  </si>
  <si>
    <t>%MX7.0</t>
  </si>
  <si>
    <t>%MD57</t>
  </si>
  <si>
    <t>%MD58</t>
  </si>
  <si>
    <t>%MD59</t>
  </si>
  <si>
    <t>%MD109</t>
  </si>
  <si>
    <t>%MD110</t>
  </si>
  <si>
    <t>%MD111</t>
  </si>
  <si>
    <t>%MD112</t>
  </si>
  <si>
    <t>%MD113</t>
  </si>
  <si>
    <t>%MD114</t>
  </si>
  <si>
    <t>%MD115</t>
  </si>
  <si>
    <t>%MD116</t>
  </si>
  <si>
    <t>%MD117</t>
  </si>
  <si>
    <t>%MD118</t>
  </si>
  <si>
    <t>%MD119</t>
  </si>
  <si>
    <t>%MD120</t>
  </si>
  <si>
    <t>%MD121</t>
  </si>
  <si>
    <t>%MD122</t>
  </si>
  <si>
    <t>%IW2</t>
  </si>
  <si>
    <t>%IW3</t>
  </si>
  <si>
    <t>%IW4</t>
  </si>
  <si>
    <t>%IW6</t>
  </si>
  <si>
    <t>%IW7</t>
  </si>
  <si>
    <t>%IW8</t>
  </si>
  <si>
    <t>%IW9</t>
  </si>
  <si>
    <t>I/O Card Number</t>
  </si>
  <si>
    <t>Channel</t>
  </si>
  <si>
    <t>Position</t>
  </si>
  <si>
    <t>750-461</t>
  </si>
  <si>
    <t>Status</t>
  </si>
  <si>
    <t>IN-USE</t>
  </si>
  <si>
    <t>DEPRECATED</t>
  </si>
  <si>
    <t>%IW0</t>
  </si>
  <si>
    <t>750-492</t>
  </si>
  <si>
    <t>%IW1</t>
  </si>
  <si>
    <t>%IX10.2</t>
  </si>
  <si>
    <t>%IX10.3</t>
  </si>
  <si>
    <t>750-403</t>
  </si>
  <si>
    <t>%IX10.0</t>
  </si>
  <si>
    <t>%IX10.1</t>
  </si>
  <si>
    <t>%IX10.4</t>
  </si>
  <si>
    <t>750-400</t>
  </si>
  <si>
    <t>750-455</t>
  </si>
  <si>
    <t>%QX2.0</t>
  </si>
  <si>
    <t>%QX2.1</t>
  </si>
  <si>
    <t>%QX2.3</t>
  </si>
  <si>
    <t>%QX2.2</t>
  </si>
  <si>
    <t>750-530</t>
  </si>
  <si>
    <t>%QW0</t>
  </si>
  <si>
    <t>750-554</t>
  </si>
  <si>
    <t>RESERVED</t>
  </si>
  <si>
    <t>XXX</t>
  </si>
  <si>
    <t>xrWaterLow</t>
  </si>
  <si>
    <t>xrWaterLowLow</t>
  </si>
  <si>
    <t>xrCondAlm</t>
  </si>
  <si>
    <t>xrCondFlt</t>
  </si>
  <si>
    <t>xrPress</t>
  </si>
  <si>
    <t>xrFan1Active</t>
  </si>
  <si>
    <t>xrPump1Active</t>
  </si>
  <si>
    <t>xrPump2Active</t>
  </si>
  <si>
    <t>xrFan2Active</t>
  </si>
  <si>
    <t>wrAct</t>
  </si>
  <si>
    <t>wrCurrent1</t>
  </si>
  <si>
    <t>wrVoltage1</t>
  </si>
  <si>
    <t>wrCurrent2</t>
  </si>
  <si>
    <t>wrVoltage2</t>
  </si>
  <si>
    <t>wrConductivity</t>
  </si>
  <si>
    <t>wrFlow</t>
  </si>
  <si>
    <t>wrRTD1</t>
  </si>
  <si>
    <t>wrRTD2</t>
  </si>
  <si>
    <t>wrRTD3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</si>
</sst>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</font>
    <font>
      <sz val="8"/>
      <name val="Aptos Narrow"/>
      <family val="2"/>
      <scheme val="minor"/>
    </font>
    <font>
      <b/>
      <sz val="11"/>
      <color theme="1"/>
      <name val="Arial"/>
      <family val="2"/>
    </font>
    <font>
      <b/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4" fillId="0" borderId="0" xfId="0" applyFont="1"/>
    <xf numFmtId="0" fontId="2" fillId="0" borderId="0" xfId="0" applyFont="1"/>
    <xf numFmtId="0" fontId="8" fillId="0" borderId="0" xfId="0" applyFont="1"/>
    <xf numFmtId="0" fontId="7" fillId="0" borderId="0" xfId="0" applyFont="1"/>
    <xf numFmtId="0" fontId="1" fillId="0" borderId="0" xfId="0" applyFont="1"/>
    <xf numFmtId="0" fontId="5" fillId="0" borderId="0" xfId="0" applyFont="1"/>
    <xf numFmtId="0" fontId="3" fillId="0" borderId="0" xfId="0" applyFont="1"/>
  </cellXfs>
  <cellStyles count="1">
    <cellStyle name="Normal" xfId="0" builtinId="0"/>
  </cellStyles>
  <dxfs count="1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fill>
        <patternFill patternType="none">
          <fgColor indexed="64"/>
          <bgColor indexed="6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10" Type="http://schemas.openxmlformats.org/officeDocument/2006/relationships/calcChain" Target="calcChain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28E4E13-ED9D-48D1-8FE5-08F11708F130}" name="Table1" displayName="Table1" ref="A1:R97" totalsRowShown="0" headerRowDxfId="18">
  <autoFilter ref="A1:R97" xr:uid="{B28E4E13-ED9D-48D1-8FE5-08F11708F130}">
    <filterColumn colId="3">
      <filters>
        <filter val="IN-USE"/>
      </filters>
    </filterColumn>
  </autoFilter>
  <tableColumns count="18">
    <tableColumn id="1" xr3:uid="{423FA6DC-9142-4672-A14E-553234A081EF}" name="Signal Type" dataDxfId="17"/>
    <tableColumn id="2" xr3:uid="{56D9DA24-EF6A-4F6A-8733-677B62E46902}" name="Tag No" dataDxfId="16"/>
    <tableColumn id="3" xr3:uid="{A96BC653-60FF-429B-B698-AD90C0B0B0D3}" name="Name" dataDxfId="15"/>
    <tableColumn id="4" xr3:uid="{706A0F32-C352-4264-929A-BBE84E0336CD}" name="Status" dataDxfId="14"/>
    <tableColumn id="5" xr3:uid="{C8D7F886-484A-4506-96D7-825482566CEA}" name="Data Type" dataDxfId="13"/>
    <tableColumn id="6" xr3:uid="{BD2571AB-DE7E-4006-8157-4106695ACD69}" name="Memory Type" dataDxfId="12"/>
    <tableColumn id="7" xr3:uid="{3B62562F-5D5D-4A72-AC30-A11E0297A3A2}" name="PDU Hexadecimal" dataDxfId="11"/>
    <tableColumn id="8" xr3:uid="{8719FB6E-76D0-42CA-A6D4-A07F76F787FE}" name="Modbus Address" dataDxfId="10"/>
    <tableColumn id="9" xr3:uid="{494772C3-DD22-48E6-87F4-54FAD05AA979}" name="Modicon Address" dataDxfId="9"/>
    <tableColumn id="10" xr3:uid="{E8FE6B00-067F-43B4-AFBC-4B31DC0D3ACD}" name="PLC Memory Address" dataDxfId="8"/>
    <tableColumn id="11" xr3:uid="{32B52740-581E-4139-B281-3664B4614465}" name="Position" dataDxfId="7"/>
    <tableColumn id="12" xr3:uid="{E6944375-EF05-45BC-8ADD-793CB19A0ADA}" name="I/O Card Number" dataDxfId="6"/>
    <tableColumn id="13" xr3:uid="{527E8B44-E1FF-4F80-A269-6A31B18D6394}" name="Channel" dataDxfId="5"/>
    <tableColumn id="14" xr3:uid="{E82449CF-F378-4789-9FE2-B0D21BD261F7}" name="I/O" dataDxfId="4"/>
    <tableColumn id="15" xr3:uid="{6CE76123-31FB-4788-B701-5DEA98A3B0AA}" name="Global Variable" dataDxfId="3"/>
    <tableColumn id="16" xr3:uid="{E1175C2D-C54B-4E1D-8F34-46534F2CFC8A}" name="Program Variable Name" dataDxfId="2"/>
    <tableColumn id="17" xr3:uid="{70FE0A90-A798-47C6-B87B-28B2D22A1365}" name="Operator Visiblity" dataDxfId="1"/>
    <tableColumn id="18" xr3:uid="{3FC319EF-8DF3-4168-B3CA-EF31C5FF6669}" name="Deadman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1011"/>
  <sheetViews>
    <sheetView tabSelected="1" zoomScale="85" zoomScaleNormal="85" workbookViewId="0">
      <selection activeCell="E1" sqref="E1"/>
    </sheetView>
  </sheetViews>
  <sheetFormatPr defaultColWidth="12.6640625" defaultRowHeight="15" customHeight="1" x14ac:dyDescent="0.3"/>
  <cols>
    <col min="1" max="1" width="12.44140625" customWidth="1"/>
    <col min="2" max="2" width="8.6640625" customWidth="1"/>
    <col min="3" max="3" width="30.44140625" customWidth="1"/>
    <col min="4" max="4" width="12.21875" bestFit="1" customWidth="1"/>
    <col min="5" max="5" width="11.21875" customWidth="1"/>
    <col min="6" max="6" width="14.109375" customWidth="1"/>
    <col min="7" max="7" width="18.33203125" customWidth="1"/>
    <col min="8" max="8" width="16.77734375" customWidth="1"/>
    <col min="9" max="9" width="17.33203125" customWidth="1"/>
    <col min="10" max="10" width="24.5546875" customWidth="1"/>
    <col min="11" max="11" width="11.109375" customWidth="1"/>
    <col min="12" max="12" width="19.33203125" customWidth="1"/>
    <col min="13" max="13" width="11.21875" customWidth="1"/>
    <col min="14" max="14" width="16.6640625" customWidth="1"/>
    <col min="15" max="15" width="15.77734375" customWidth="1"/>
    <col min="16" max="16" width="23" customWidth="1"/>
    <col min="17" max="17" width="17.6640625" customWidth="1"/>
    <col min="18" max="18" width="11.109375" customWidth="1"/>
    <col min="19" max="33" width="8.6640625" customWidth="1"/>
  </cols>
  <sheetData>
    <row r="1" spans="1:24" ht="14.25" customHeight="1" x14ac:dyDescent="0.3">
      <c r="A1" s="1" t="s">
        <v>0</v>
      </c>
      <c r="B1" s="2" t="s">
        <v>1</v>
      </c>
      <c r="C1" s="2" t="s">
        <v>2</v>
      </c>
      <c r="D1" s="3" t="s">
        <v>309</v>
      </c>
      <c r="E1" s="3" t="s">
        <v>210</v>
      </c>
      <c r="F1" s="3" t="s">
        <v>211</v>
      </c>
      <c r="G1" s="3" t="s">
        <v>201</v>
      </c>
      <c r="H1" s="3" t="s">
        <v>3</v>
      </c>
      <c r="I1" s="3" t="s">
        <v>209</v>
      </c>
      <c r="J1" s="4" t="s">
        <v>204</v>
      </c>
      <c r="K1" s="4" t="s">
        <v>307</v>
      </c>
      <c r="L1" s="4" t="s">
        <v>305</v>
      </c>
      <c r="M1" s="4" t="s">
        <v>306</v>
      </c>
      <c r="N1" s="2" t="s">
        <v>4</v>
      </c>
      <c r="O1" s="2" t="s">
        <v>5</v>
      </c>
      <c r="P1" s="2" t="s">
        <v>6</v>
      </c>
      <c r="Q1" s="2" t="s">
        <v>7</v>
      </c>
      <c r="R1" s="2" t="s">
        <v>187</v>
      </c>
      <c r="X1">
        <v>1</v>
      </c>
    </row>
    <row r="2" spans="1:24" ht="14.25" customHeight="1" x14ac:dyDescent="0.3">
      <c r="A2" s="5" t="s">
        <v>8</v>
      </c>
      <c r="B2" s="6" t="s">
        <v>199</v>
      </c>
      <c r="C2" s="6" t="s">
        <v>200</v>
      </c>
      <c r="D2" s="6" t="s">
        <v>310</v>
      </c>
      <c r="E2" s="6" t="s">
        <v>12</v>
      </c>
      <c r="F2" s="5" t="s">
        <v>12</v>
      </c>
      <c r="G2" s="5" t="s">
        <v>12</v>
      </c>
      <c r="H2" s="6" t="s">
        <v>12</v>
      </c>
      <c r="I2" s="5" t="s">
        <v>12</v>
      </c>
      <c r="J2" s="5" t="s">
        <v>12</v>
      </c>
      <c r="K2" s="5" t="s">
        <v>12</v>
      </c>
      <c r="L2" s="5" t="s">
        <v>12</v>
      </c>
      <c r="M2" s="5" t="s">
        <v>12</v>
      </c>
      <c r="N2" s="5" t="s">
        <v>12</v>
      </c>
      <c r="O2" s="5" t="s">
        <v>12</v>
      </c>
      <c r="P2" s="5" t="s">
        <v>331</v>
      </c>
      <c r="Q2" s="6" t="s">
        <v>145</v>
      </c>
      <c r="R2" s="6" t="s">
        <v>13</v>
      </c>
      <c r="X2">
        <f>X1+1</f>
        <v>2</v>
      </c>
    </row>
    <row r="3" spans="1:24" ht="14.25" customHeight="1" x14ac:dyDescent="0.3">
      <c r="A3" s="5" t="s">
        <v>8</v>
      </c>
      <c r="B3" s="7" t="s">
        <v>9</v>
      </c>
      <c r="C3" s="7" t="s">
        <v>10</v>
      </c>
      <c r="D3" s="6" t="s">
        <v>310</v>
      </c>
      <c r="E3" s="7" t="s">
        <v>11</v>
      </c>
      <c r="F3" s="5" t="s">
        <v>214</v>
      </c>
      <c r="G3" s="5" t="str">
        <f t="shared" ref="G3:G34" si="0">_xlfn.CONCAT("0x",DEC2HEX(H3))</f>
        <v>0x3000</v>
      </c>
      <c r="H3" s="7">
        <v>12288</v>
      </c>
      <c r="I3" s="6" t="str">
        <f t="shared" ref="I3:I22" si="1">_xlfn.CONCAT(0,H3+1)</f>
        <v>012289</v>
      </c>
      <c r="J3" s="5" t="s">
        <v>223</v>
      </c>
      <c r="K3" s="5" t="s">
        <v>12</v>
      </c>
      <c r="L3" s="5" t="s">
        <v>12</v>
      </c>
      <c r="M3" s="5" t="s">
        <v>12</v>
      </c>
      <c r="N3" s="7" t="s">
        <v>12</v>
      </c>
      <c r="O3" s="7" t="s">
        <v>13</v>
      </c>
      <c r="P3" t="str">
        <f>_xlfn.CONCAT("axSW[",X1, "]")</f>
        <v>axSW[1]</v>
      </c>
      <c r="Q3" s="6" t="s">
        <v>145</v>
      </c>
      <c r="R3" s="6" t="s">
        <v>13</v>
      </c>
      <c r="X3">
        <f t="shared" ref="X3:X66" si="2">X2+1</f>
        <v>3</v>
      </c>
    </row>
    <row r="4" spans="1:24" ht="14.25" customHeight="1" x14ac:dyDescent="0.3">
      <c r="A4" s="5" t="s">
        <v>8</v>
      </c>
      <c r="B4" s="7" t="s">
        <v>14</v>
      </c>
      <c r="C4" s="7" t="s">
        <v>15</v>
      </c>
      <c r="D4" s="6" t="s">
        <v>310</v>
      </c>
      <c r="E4" s="7" t="s">
        <v>11</v>
      </c>
      <c r="F4" s="5" t="s">
        <v>214</v>
      </c>
      <c r="G4" s="5" t="str">
        <f t="shared" si="0"/>
        <v>0x3001</v>
      </c>
      <c r="H4" s="7">
        <f t="shared" ref="H4:H22" si="3">H3+1</f>
        <v>12289</v>
      </c>
      <c r="I4" s="6" t="str">
        <f t="shared" si="1"/>
        <v>012290</v>
      </c>
      <c r="J4" s="5" t="s">
        <v>225</v>
      </c>
      <c r="K4" s="5" t="s">
        <v>12</v>
      </c>
      <c r="L4" s="5" t="s">
        <v>12</v>
      </c>
      <c r="M4" s="5" t="s">
        <v>12</v>
      </c>
      <c r="N4" s="7" t="s">
        <v>12</v>
      </c>
      <c r="O4" s="7" t="s">
        <v>13</v>
      </c>
      <c r="P4" t="str">
        <f t="shared" ref="P4:P18" si="4">_xlfn.CONCAT("axSW[",X2, "]")</f>
        <v>axSW[2]</v>
      </c>
      <c r="Q4" s="6" t="s">
        <v>145</v>
      </c>
      <c r="R4" s="6" t="s">
        <v>13</v>
      </c>
      <c r="X4">
        <f t="shared" si="2"/>
        <v>4</v>
      </c>
    </row>
    <row r="5" spans="1:24" ht="14.25" customHeight="1" x14ac:dyDescent="0.3">
      <c r="A5" s="5" t="s">
        <v>8</v>
      </c>
      <c r="B5" s="7" t="s">
        <v>16</v>
      </c>
      <c r="C5" s="7" t="s">
        <v>17</v>
      </c>
      <c r="D5" s="6" t="s">
        <v>310</v>
      </c>
      <c r="E5" s="7" t="s">
        <v>11</v>
      </c>
      <c r="F5" s="5" t="s">
        <v>214</v>
      </c>
      <c r="G5" s="5" t="str">
        <f t="shared" si="0"/>
        <v>0x3002</v>
      </c>
      <c r="H5" s="7">
        <f t="shared" si="3"/>
        <v>12290</v>
      </c>
      <c r="I5" s="6" t="str">
        <f t="shared" si="1"/>
        <v>012291</v>
      </c>
      <c r="J5" s="5" t="s">
        <v>226</v>
      </c>
      <c r="K5" s="5" t="s">
        <v>12</v>
      </c>
      <c r="L5" s="5" t="s">
        <v>12</v>
      </c>
      <c r="M5" s="5" t="s">
        <v>12</v>
      </c>
      <c r="N5" s="7" t="s">
        <v>12</v>
      </c>
      <c r="O5" s="7" t="s">
        <v>13</v>
      </c>
      <c r="P5" t="str">
        <f t="shared" si="4"/>
        <v>axSW[3]</v>
      </c>
      <c r="Q5" s="6" t="s">
        <v>145</v>
      </c>
      <c r="R5" s="6" t="s">
        <v>13</v>
      </c>
      <c r="X5">
        <f t="shared" si="2"/>
        <v>5</v>
      </c>
    </row>
    <row r="6" spans="1:24" ht="14.25" customHeight="1" x14ac:dyDescent="0.3">
      <c r="A6" s="5" t="s">
        <v>8</v>
      </c>
      <c r="B6" s="7" t="s">
        <v>18</v>
      </c>
      <c r="C6" s="7" t="s">
        <v>19</v>
      </c>
      <c r="D6" s="6" t="s">
        <v>310</v>
      </c>
      <c r="E6" s="7" t="s">
        <v>11</v>
      </c>
      <c r="F6" s="5" t="s">
        <v>214</v>
      </c>
      <c r="G6" s="5" t="str">
        <f t="shared" si="0"/>
        <v>0x3003</v>
      </c>
      <c r="H6" s="7">
        <f t="shared" si="3"/>
        <v>12291</v>
      </c>
      <c r="I6" s="6" t="str">
        <f t="shared" si="1"/>
        <v>012292</v>
      </c>
      <c r="J6" s="5" t="s">
        <v>227</v>
      </c>
      <c r="K6" s="5" t="s">
        <v>12</v>
      </c>
      <c r="L6" s="5" t="s">
        <v>12</v>
      </c>
      <c r="M6" s="5" t="s">
        <v>12</v>
      </c>
      <c r="N6" s="7" t="s">
        <v>12</v>
      </c>
      <c r="O6" s="7" t="s">
        <v>13</v>
      </c>
      <c r="P6" t="str">
        <f t="shared" si="4"/>
        <v>axSW[4]</v>
      </c>
      <c r="Q6" s="6" t="s">
        <v>145</v>
      </c>
      <c r="R6" s="6" t="s">
        <v>13</v>
      </c>
      <c r="X6">
        <f t="shared" si="2"/>
        <v>6</v>
      </c>
    </row>
    <row r="7" spans="1:24" ht="14.25" customHeight="1" x14ac:dyDescent="0.3">
      <c r="A7" s="5" t="s">
        <v>8</v>
      </c>
      <c r="B7" s="7" t="s">
        <v>20</v>
      </c>
      <c r="C7" s="7" t="s">
        <v>21</v>
      </c>
      <c r="D7" s="6" t="s">
        <v>310</v>
      </c>
      <c r="E7" s="7" t="s">
        <v>11</v>
      </c>
      <c r="F7" s="5" t="s">
        <v>214</v>
      </c>
      <c r="G7" s="5" t="str">
        <f t="shared" si="0"/>
        <v>0x3004</v>
      </c>
      <c r="H7" s="7">
        <f t="shared" si="3"/>
        <v>12292</v>
      </c>
      <c r="I7" s="6" t="str">
        <f t="shared" si="1"/>
        <v>012293</v>
      </c>
      <c r="J7" s="5" t="s">
        <v>228</v>
      </c>
      <c r="K7" s="5" t="s">
        <v>12</v>
      </c>
      <c r="L7" s="5" t="s">
        <v>12</v>
      </c>
      <c r="M7" s="5" t="s">
        <v>12</v>
      </c>
      <c r="N7" s="7" t="s">
        <v>12</v>
      </c>
      <c r="O7" s="7" t="s">
        <v>13</v>
      </c>
      <c r="P7" t="str">
        <f t="shared" si="4"/>
        <v>axSW[5]</v>
      </c>
      <c r="Q7" s="6" t="s">
        <v>145</v>
      </c>
      <c r="R7" s="5" t="s">
        <v>145</v>
      </c>
      <c r="X7">
        <f t="shared" si="2"/>
        <v>7</v>
      </c>
    </row>
    <row r="8" spans="1:24" ht="14.25" customHeight="1" x14ac:dyDescent="0.3">
      <c r="A8" s="5" t="s">
        <v>8</v>
      </c>
      <c r="B8" s="7" t="s">
        <v>22</v>
      </c>
      <c r="C8" s="7" t="s">
        <v>23</v>
      </c>
      <c r="D8" s="6" t="s">
        <v>310</v>
      </c>
      <c r="E8" s="7" t="s">
        <v>11</v>
      </c>
      <c r="F8" s="5" t="s">
        <v>214</v>
      </c>
      <c r="G8" s="5" t="str">
        <f t="shared" si="0"/>
        <v>0x3005</v>
      </c>
      <c r="H8" s="7">
        <f t="shared" si="3"/>
        <v>12293</v>
      </c>
      <c r="I8" s="6" t="str">
        <f t="shared" si="1"/>
        <v>012294</v>
      </c>
      <c r="J8" s="5" t="s">
        <v>229</v>
      </c>
      <c r="K8" s="5" t="s">
        <v>12</v>
      </c>
      <c r="L8" s="5" t="s">
        <v>12</v>
      </c>
      <c r="M8" s="5" t="s">
        <v>12</v>
      </c>
      <c r="N8" s="7" t="s">
        <v>12</v>
      </c>
      <c r="O8" s="7" t="s">
        <v>13</v>
      </c>
      <c r="P8" t="str">
        <f t="shared" si="4"/>
        <v>axSW[6]</v>
      </c>
      <c r="Q8" s="6" t="s">
        <v>145</v>
      </c>
      <c r="R8" s="5" t="s">
        <v>145</v>
      </c>
      <c r="X8">
        <f t="shared" si="2"/>
        <v>8</v>
      </c>
    </row>
    <row r="9" spans="1:24" ht="14.25" hidden="1" customHeight="1" x14ac:dyDescent="0.3">
      <c r="A9" s="5" t="s">
        <v>8</v>
      </c>
      <c r="B9" s="7" t="s">
        <v>24</v>
      </c>
      <c r="C9" s="7" t="s">
        <v>25</v>
      </c>
      <c r="D9" s="6" t="s">
        <v>311</v>
      </c>
      <c r="E9" s="7" t="s">
        <v>11</v>
      </c>
      <c r="F9" s="5" t="s">
        <v>214</v>
      </c>
      <c r="G9" s="5" t="str">
        <f t="shared" si="0"/>
        <v>0x3006</v>
      </c>
      <c r="H9" s="7">
        <f t="shared" si="3"/>
        <v>12294</v>
      </c>
      <c r="I9" s="6" t="str">
        <f t="shared" si="1"/>
        <v>012295</v>
      </c>
      <c r="J9" s="5" t="s">
        <v>230</v>
      </c>
      <c r="K9" s="5" t="s">
        <v>12</v>
      </c>
      <c r="L9" s="5" t="s">
        <v>12</v>
      </c>
      <c r="M9" s="5" t="s">
        <v>12</v>
      </c>
      <c r="N9" s="7" t="s">
        <v>12</v>
      </c>
      <c r="O9" s="7" t="s">
        <v>13</v>
      </c>
      <c r="P9" t="str">
        <f t="shared" si="4"/>
        <v>axSW[7]</v>
      </c>
      <c r="Q9" s="6" t="s">
        <v>145</v>
      </c>
      <c r="R9" s="5" t="s">
        <v>13</v>
      </c>
      <c r="X9">
        <f t="shared" si="2"/>
        <v>9</v>
      </c>
    </row>
    <row r="10" spans="1:24" ht="14.25" customHeight="1" x14ac:dyDescent="0.3">
      <c r="A10" s="5" t="s">
        <v>8</v>
      </c>
      <c r="B10" s="7" t="s">
        <v>26</v>
      </c>
      <c r="C10" s="7" t="s">
        <v>27</v>
      </c>
      <c r="D10" s="6" t="s">
        <v>310</v>
      </c>
      <c r="E10" s="7" t="s">
        <v>11</v>
      </c>
      <c r="F10" s="5" t="s">
        <v>214</v>
      </c>
      <c r="G10" s="5" t="str">
        <f t="shared" si="0"/>
        <v>0x3007</v>
      </c>
      <c r="H10" s="7">
        <f t="shared" si="3"/>
        <v>12295</v>
      </c>
      <c r="I10" s="6" t="str">
        <f t="shared" si="1"/>
        <v>012296</v>
      </c>
      <c r="J10" s="5" t="s">
        <v>231</v>
      </c>
      <c r="K10" s="5" t="s">
        <v>12</v>
      </c>
      <c r="L10" s="5" t="s">
        <v>12</v>
      </c>
      <c r="M10" s="5" t="s">
        <v>12</v>
      </c>
      <c r="N10" s="7" t="s">
        <v>12</v>
      </c>
      <c r="O10" s="7" t="s">
        <v>13</v>
      </c>
      <c r="P10" t="str">
        <f t="shared" si="4"/>
        <v>axSW[8]</v>
      </c>
      <c r="Q10" s="6" t="s">
        <v>145</v>
      </c>
      <c r="R10" s="5" t="s">
        <v>13</v>
      </c>
      <c r="X10">
        <f t="shared" si="2"/>
        <v>10</v>
      </c>
    </row>
    <row r="11" spans="1:24" ht="14.25" customHeight="1" x14ac:dyDescent="0.3">
      <c r="A11" s="5" t="s">
        <v>8</v>
      </c>
      <c r="B11" s="7" t="s">
        <v>28</v>
      </c>
      <c r="C11" s="7" t="s">
        <v>29</v>
      </c>
      <c r="D11" s="6" t="s">
        <v>310</v>
      </c>
      <c r="E11" s="7" t="s">
        <v>11</v>
      </c>
      <c r="F11" s="5" t="s">
        <v>214</v>
      </c>
      <c r="G11" s="5" t="str">
        <f t="shared" si="0"/>
        <v>0x3008</v>
      </c>
      <c r="H11" s="7">
        <f t="shared" si="3"/>
        <v>12296</v>
      </c>
      <c r="I11" s="6" t="str">
        <f t="shared" si="1"/>
        <v>012297</v>
      </c>
      <c r="J11" s="5" t="s">
        <v>232</v>
      </c>
      <c r="K11" s="5" t="s">
        <v>12</v>
      </c>
      <c r="L11" s="5" t="s">
        <v>12</v>
      </c>
      <c r="M11" s="5" t="s">
        <v>12</v>
      </c>
      <c r="N11" s="7" t="s">
        <v>12</v>
      </c>
      <c r="O11" s="7" t="s">
        <v>13</v>
      </c>
      <c r="P11" t="str">
        <f t="shared" si="4"/>
        <v>axSW[9]</v>
      </c>
      <c r="Q11" s="6" t="s">
        <v>145</v>
      </c>
      <c r="R11" s="5" t="s">
        <v>13</v>
      </c>
      <c r="X11">
        <f t="shared" si="2"/>
        <v>11</v>
      </c>
    </row>
    <row r="12" spans="1:24" ht="14.25" customHeight="1" x14ac:dyDescent="0.3">
      <c r="A12" s="5" t="s">
        <v>8</v>
      </c>
      <c r="B12" s="7" t="s">
        <v>30</v>
      </c>
      <c r="C12" s="7" t="s">
        <v>31</v>
      </c>
      <c r="D12" s="6" t="s">
        <v>310</v>
      </c>
      <c r="E12" s="7" t="s">
        <v>11</v>
      </c>
      <c r="F12" s="5" t="s">
        <v>214</v>
      </c>
      <c r="G12" s="5" t="str">
        <f t="shared" si="0"/>
        <v>0x3009</v>
      </c>
      <c r="H12" s="7">
        <f t="shared" si="3"/>
        <v>12297</v>
      </c>
      <c r="I12" s="6" t="str">
        <f t="shared" si="1"/>
        <v>012298</v>
      </c>
      <c r="J12" s="5" t="s">
        <v>233</v>
      </c>
      <c r="K12" s="5" t="s">
        <v>12</v>
      </c>
      <c r="L12" s="5" t="s">
        <v>12</v>
      </c>
      <c r="M12" s="5" t="s">
        <v>12</v>
      </c>
      <c r="N12" s="7" t="s">
        <v>12</v>
      </c>
      <c r="O12" s="7" t="s">
        <v>13</v>
      </c>
      <c r="P12" t="str">
        <f t="shared" si="4"/>
        <v>axSW[10]</v>
      </c>
      <c r="Q12" s="6" t="s">
        <v>145</v>
      </c>
      <c r="R12" s="5" t="s">
        <v>13</v>
      </c>
      <c r="X12">
        <f t="shared" si="2"/>
        <v>12</v>
      </c>
    </row>
    <row r="13" spans="1:24" ht="14.25" customHeight="1" x14ac:dyDescent="0.3">
      <c r="A13" s="5" t="s">
        <v>8</v>
      </c>
      <c r="B13" s="7" t="s">
        <v>32</v>
      </c>
      <c r="C13" s="7" t="s">
        <v>33</v>
      </c>
      <c r="D13" s="6" t="s">
        <v>310</v>
      </c>
      <c r="E13" s="7" t="s">
        <v>11</v>
      </c>
      <c r="F13" s="5" t="s">
        <v>214</v>
      </c>
      <c r="G13" s="5" t="str">
        <f t="shared" si="0"/>
        <v>0x300A</v>
      </c>
      <c r="H13" s="7">
        <f t="shared" si="3"/>
        <v>12298</v>
      </c>
      <c r="I13" s="6" t="str">
        <f t="shared" si="1"/>
        <v>012299</v>
      </c>
      <c r="J13" s="5" t="s">
        <v>234</v>
      </c>
      <c r="K13" s="5" t="s">
        <v>12</v>
      </c>
      <c r="L13" s="5" t="s">
        <v>12</v>
      </c>
      <c r="M13" s="5" t="s">
        <v>12</v>
      </c>
      <c r="N13" s="7" t="s">
        <v>12</v>
      </c>
      <c r="O13" s="7" t="s">
        <v>13</v>
      </c>
      <c r="P13" t="str">
        <f t="shared" si="4"/>
        <v>axSW[11]</v>
      </c>
      <c r="Q13" s="6" t="s">
        <v>145</v>
      </c>
      <c r="R13" s="5" t="s">
        <v>13</v>
      </c>
      <c r="X13">
        <f t="shared" si="2"/>
        <v>13</v>
      </c>
    </row>
    <row r="14" spans="1:24" ht="14.25" customHeight="1" x14ac:dyDescent="0.3">
      <c r="A14" s="5" t="s">
        <v>8</v>
      </c>
      <c r="B14" s="7" t="s">
        <v>34</v>
      </c>
      <c r="C14" s="7" t="s">
        <v>35</v>
      </c>
      <c r="D14" s="6" t="s">
        <v>310</v>
      </c>
      <c r="E14" s="7" t="s">
        <v>11</v>
      </c>
      <c r="F14" s="5" t="s">
        <v>214</v>
      </c>
      <c r="G14" s="5" t="str">
        <f t="shared" si="0"/>
        <v>0x300B</v>
      </c>
      <c r="H14" s="7">
        <f t="shared" si="3"/>
        <v>12299</v>
      </c>
      <c r="I14" s="6" t="str">
        <f t="shared" si="1"/>
        <v>012300</v>
      </c>
      <c r="J14" s="5" t="s">
        <v>235</v>
      </c>
      <c r="K14" s="5" t="s">
        <v>12</v>
      </c>
      <c r="L14" s="5" t="s">
        <v>12</v>
      </c>
      <c r="M14" s="5" t="s">
        <v>12</v>
      </c>
      <c r="N14" s="7" t="s">
        <v>12</v>
      </c>
      <c r="O14" s="7" t="s">
        <v>13</v>
      </c>
      <c r="P14" t="str">
        <f t="shared" si="4"/>
        <v>axSW[12]</v>
      </c>
      <c r="Q14" s="6" t="s">
        <v>145</v>
      </c>
      <c r="R14" s="5" t="s">
        <v>13</v>
      </c>
      <c r="X14">
        <f t="shared" si="2"/>
        <v>14</v>
      </c>
    </row>
    <row r="15" spans="1:24" ht="14.25" customHeight="1" x14ac:dyDescent="0.3">
      <c r="A15" s="5" t="s">
        <v>8</v>
      </c>
      <c r="B15" s="7" t="s">
        <v>36</v>
      </c>
      <c r="C15" s="7" t="s">
        <v>37</v>
      </c>
      <c r="D15" s="6" t="s">
        <v>310</v>
      </c>
      <c r="E15" s="7" t="s">
        <v>11</v>
      </c>
      <c r="F15" s="5" t="s">
        <v>214</v>
      </c>
      <c r="G15" s="5" t="str">
        <f t="shared" si="0"/>
        <v>0x300C</v>
      </c>
      <c r="H15" s="7">
        <f t="shared" si="3"/>
        <v>12300</v>
      </c>
      <c r="I15" s="6" t="str">
        <f t="shared" si="1"/>
        <v>012301</v>
      </c>
      <c r="J15" s="5" t="s">
        <v>236</v>
      </c>
      <c r="K15" s="5" t="s">
        <v>12</v>
      </c>
      <c r="L15" s="5" t="s">
        <v>12</v>
      </c>
      <c r="M15" s="5" t="s">
        <v>12</v>
      </c>
      <c r="N15" s="7" t="s">
        <v>12</v>
      </c>
      <c r="O15" s="7" t="s">
        <v>13</v>
      </c>
      <c r="P15" t="str">
        <f t="shared" si="4"/>
        <v>axSW[13]</v>
      </c>
      <c r="Q15" s="6" t="s">
        <v>145</v>
      </c>
      <c r="R15" s="5" t="s">
        <v>13</v>
      </c>
      <c r="X15">
        <f t="shared" si="2"/>
        <v>15</v>
      </c>
    </row>
    <row r="16" spans="1:24" ht="14.25" customHeight="1" x14ac:dyDescent="0.3">
      <c r="A16" s="5" t="s">
        <v>8</v>
      </c>
      <c r="B16" s="7" t="s">
        <v>38</v>
      </c>
      <c r="C16" s="7" t="s">
        <v>39</v>
      </c>
      <c r="D16" s="6" t="s">
        <v>310</v>
      </c>
      <c r="E16" s="7" t="s">
        <v>11</v>
      </c>
      <c r="F16" s="5" t="s">
        <v>214</v>
      </c>
      <c r="G16" s="5" t="str">
        <f t="shared" si="0"/>
        <v>0x300D</v>
      </c>
      <c r="H16" s="7">
        <f t="shared" si="3"/>
        <v>12301</v>
      </c>
      <c r="I16" s="6" t="str">
        <f t="shared" si="1"/>
        <v>012302</v>
      </c>
      <c r="J16" s="5" t="s">
        <v>237</v>
      </c>
      <c r="K16" s="5" t="s">
        <v>12</v>
      </c>
      <c r="L16" s="5" t="s">
        <v>12</v>
      </c>
      <c r="M16" s="5" t="s">
        <v>12</v>
      </c>
      <c r="N16" s="7" t="s">
        <v>12</v>
      </c>
      <c r="O16" s="7" t="s">
        <v>13</v>
      </c>
      <c r="P16" t="str">
        <f t="shared" si="4"/>
        <v>axSW[14]</v>
      </c>
      <c r="Q16" s="6" t="s">
        <v>145</v>
      </c>
      <c r="R16" s="5" t="s">
        <v>13</v>
      </c>
      <c r="X16">
        <f t="shared" si="2"/>
        <v>16</v>
      </c>
    </row>
    <row r="17" spans="1:24" ht="14.25" customHeight="1" x14ac:dyDescent="0.3">
      <c r="A17" s="5" t="s">
        <v>8</v>
      </c>
      <c r="B17" s="7" t="s">
        <v>218</v>
      </c>
      <c r="C17" s="5" t="s">
        <v>220</v>
      </c>
      <c r="D17" s="6" t="s">
        <v>310</v>
      </c>
      <c r="E17" s="5" t="s">
        <v>11</v>
      </c>
      <c r="F17" s="5" t="s">
        <v>214</v>
      </c>
      <c r="G17" s="5" t="str">
        <f t="shared" si="0"/>
        <v>0x300E</v>
      </c>
      <c r="H17" s="7">
        <f t="shared" si="3"/>
        <v>12302</v>
      </c>
      <c r="I17" s="6" t="str">
        <f t="shared" si="1"/>
        <v>012303</v>
      </c>
      <c r="J17" s="5" t="s">
        <v>238</v>
      </c>
      <c r="K17" s="5" t="s">
        <v>12</v>
      </c>
      <c r="L17" s="5" t="s">
        <v>12</v>
      </c>
      <c r="M17" s="5" t="s">
        <v>12</v>
      </c>
      <c r="N17" s="5" t="s">
        <v>12</v>
      </c>
      <c r="O17" s="5" t="s">
        <v>13</v>
      </c>
      <c r="P17" t="str">
        <f t="shared" si="4"/>
        <v>axSW[15]</v>
      </c>
      <c r="Q17" s="6" t="s">
        <v>145</v>
      </c>
      <c r="R17" s="5" t="s">
        <v>13</v>
      </c>
      <c r="X17">
        <f t="shared" si="2"/>
        <v>17</v>
      </c>
    </row>
    <row r="18" spans="1:24" ht="14.25" customHeight="1" x14ac:dyDescent="0.3">
      <c r="A18" s="5" t="s">
        <v>8</v>
      </c>
      <c r="B18" s="7" t="s">
        <v>219</v>
      </c>
      <c r="C18" s="5" t="s">
        <v>221</v>
      </c>
      <c r="D18" s="6" t="s">
        <v>310</v>
      </c>
      <c r="E18" s="5" t="s">
        <v>11</v>
      </c>
      <c r="F18" s="5" t="s">
        <v>214</v>
      </c>
      <c r="G18" s="5" t="str">
        <f t="shared" si="0"/>
        <v>0x300F</v>
      </c>
      <c r="H18" s="7">
        <f t="shared" si="3"/>
        <v>12303</v>
      </c>
      <c r="I18" s="6" t="str">
        <f t="shared" si="1"/>
        <v>012304</v>
      </c>
      <c r="J18" s="5" t="s">
        <v>239</v>
      </c>
      <c r="K18" s="5" t="s">
        <v>12</v>
      </c>
      <c r="L18" s="5" t="s">
        <v>12</v>
      </c>
      <c r="M18" s="5" t="s">
        <v>12</v>
      </c>
      <c r="N18" s="5" t="s">
        <v>12</v>
      </c>
      <c r="O18" s="5" t="s">
        <v>13</v>
      </c>
      <c r="P18" t="str">
        <f t="shared" si="4"/>
        <v>axSW[16]</v>
      </c>
      <c r="Q18" s="6" t="s">
        <v>145</v>
      </c>
      <c r="R18" s="5" t="s">
        <v>13</v>
      </c>
      <c r="X18">
        <f t="shared" si="2"/>
        <v>18</v>
      </c>
    </row>
    <row r="19" spans="1:24" ht="14.25" customHeight="1" x14ac:dyDescent="0.3">
      <c r="A19" s="5" t="s">
        <v>40</v>
      </c>
      <c r="B19" s="7" t="s">
        <v>41</v>
      </c>
      <c r="C19" s="7" t="s">
        <v>42</v>
      </c>
      <c r="D19" s="6" t="s">
        <v>310</v>
      </c>
      <c r="E19" s="7" t="s">
        <v>11</v>
      </c>
      <c r="F19" s="5" t="s">
        <v>214</v>
      </c>
      <c r="G19" s="5" t="str">
        <f t="shared" si="0"/>
        <v>0x3010</v>
      </c>
      <c r="H19" s="7">
        <f t="shared" si="3"/>
        <v>12304</v>
      </c>
      <c r="I19" s="6" t="str">
        <f t="shared" si="1"/>
        <v>012305</v>
      </c>
      <c r="J19" s="5" t="s">
        <v>240</v>
      </c>
      <c r="K19" s="5" t="s">
        <v>12</v>
      </c>
      <c r="L19" s="5" t="s">
        <v>12</v>
      </c>
      <c r="M19" s="5" t="s">
        <v>12</v>
      </c>
      <c r="N19" s="7" t="s">
        <v>12</v>
      </c>
      <c r="O19" s="7" t="s">
        <v>13</v>
      </c>
      <c r="P19" t="str">
        <f>_xlfn.CONCAT("axSIG[",X1,"]")</f>
        <v>axSIG[1]</v>
      </c>
      <c r="Q19" s="6" t="s">
        <v>145</v>
      </c>
      <c r="R19" s="5" t="s">
        <v>12</v>
      </c>
      <c r="X19">
        <f t="shared" si="2"/>
        <v>19</v>
      </c>
    </row>
    <row r="20" spans="1:24" ht="14.25" customHeight="1" x14ac:dyDescent="0.3">
      <c r="A20" s="5" t="s">
        <v>40</v>
      </c>
      <c r="B20" s="7" t="s">
        <v>43</v>
      </c>
      <c r="C20" s="7" t="s">
        <v>44</v>
      </c>
      <c r="D20" s="6" t="s">
        <v>310</v>
      </c>
      <c r="E20" s="7" t="s">
        <v>11</v>
      </c>
      <c r="F20" s="5" t="s">
        <v>214</v>
      </c>
      <c r="G20" s="5" t="str">
        <f t="shared" si="0"/>
        <v>0x3011</v>
      </c>
      <c r="H20" s="7">
        <f t="shared" si="3"/>
        <v>12305</v>
      </c>
      <c r="I20" s="6" t="str">
        <f t="shared" si="1"/>
        <v>012306</v>
      </c>
      <c r="J20" s="5" t="s">
        <v>241</v>
      </c>
      <c r="K20" s="5" t="s">
        <v>12</v>
      </c>
      <c r="L20" s="5" t="s">
        <v>12</v>
      </c>
      <c r="M20" s="5" t="s">
        <v>12</v>
      </c>
      <c r="N20" s="7" t="s">
        <v>12</v>
      </c>
      <c r="O20" s="7" t="s">
        <v>13</v>
      </c>
      <c r="P20" t="str">
        <f t="shared" ref="P20:P22" si="5">_xlfn.CONCAT("axSIG[",X2,"]")</f>
        <v>axSIG[2]</v>
      </c>
      <c r="Q20" s="6" t="s">
        <v>145</v>
      </c>
      <c r="R20" s="5" t="s">
        <v>12</v>
      </c>
      <c r="X20">
        <f t="shared" si="2"/>
        <v>20</v>
      </c>
    </row>
    <row r="21" spans="1:24" ht="14.25" customHeight="1" x14ac:dyDescent="0.3">
      <c r="A21" s="5" t="s">
        <v>40</v>
      </c>
      <c r="B21" s="7" t="s">
        <v>45</v>
      </c>
      <c r="C21" s="7" t="s">
        <v>46</v>
      </c>
      <c r="D21" s="6" t="s">
        <v>310</v>
      </c>
      <c r="E21" s="7" t="s">
        <v>11</v>
      </c>
      <c r="F21" s="5" t="s">
        <v>214</v>
      </c>
      <c r="G21" s="5" t="str">
        <f t="shared" si="0"/>
        <v>0x3012</v>
      </c>
      <c r="H21" s="7">
        <f t="shared" si="3"/>
        <v>12306</v>
      </c>
      <c r="I21" s="6" t="str">
        <f t="shared" si="1"/>
        <v>012307</v>
      </c>
      <c r="J21" s="5" t="s">
        <v>242</v>
      </c>
      <c r="K21" s="5" t="s">
        <v>12</v>
      </c>
      <c r="L21" s="5" t="s">
        <v>12</v>
      </c>
      <c r="M21" s="5" t="s">
        <v>12</v>
      </c>
      <c r="N21" s="7" t="s">
        <v>12</v>
      </c>
      <c r="O21" s="7" t="s">
        <v>13</v>
      </c>
      <c r="P21" t="str">
        <f t="shared" si="5"/>
        <v>axSIG[3]</v>
      </c>
      <c r="Q21" s="6" t="s">
        <v>145</v>
      </c>
      <c r="R21" s="5" t="s">
        <v>12</v>
      </c>
      <c r="X21">
        <f t="shared" si="2"/>
        <v>21</v>
      </c>
    </row>
    <row r="22" spans="1:24" ht="14.25" customHeight="1" x14ac:dyDescent="0.3">
      <c r="A22" s="5" t="s">
        <v>40</v>
      </c>
      <c r="B22" s="7" t="s">
        <v>47</v>
      </c>
      <c r="C22" s="7" t="s">
        <v>48</v>
      </c>
      <c r="D22" s="6" t="s">
        <v>310</v>
      </c>
      <c r="E22" s="7" t="s">
        <v>11</v>
      </c>
      <c r="F22" s="5" t="s">
        <v>214</v>
      </c>
      <c r="G22" s="5" t="str">
        <f t="shared" si="0"/>
        <v>0x3013</v>
      </c>
      <c r="H22" s="7">
        <f t="shared" si="3"/>
        <v>12307</v>
      </c>
      <c r="I22" s="6" t="str">
        <f t="shared" si="1"/>
        <v>012308</v>
      </c>
      <c r="J22" s="5" t="s">
        <v>243</v>
      </c>
      <c r="K22" s="5" t="s">
        <v>12</v>
      </c>
      <c r="L22" s="5" t="s">
        <v>12</v>
      </c>
      <c r="M22" s="5" t="s">
        <v>12</v>
      </c>
      <c r="N22" s="7" t="s">
        <v>12</v>
      </c>
      <c r="O22" s="7" t="s">
        <v>13</v>
      </c>
      <c r="P22" t="str">
        <f t="shared" si="5"/>
        <v>axSIG[4]</v>
      </c>
      <c r="Q22" s="6" t="s">
        <v>145</v>
      </c>
      <c r="R22" s="5" t="s">
        <v>12</v>
      </c>
      <c r="X22">
        <f t="shared" si="2"/>
        <v>22</v>
      </c>
    </row>
    <row r="23" spans="1:24" ht="14.25" customHeight="1" x14ac:dyDescent="0.3">
      <c r="A23" s="5" t="s">
        <v>40</v>
      </c>
      <c r="B23" s="7" t="s">
        <v>49</v>
      </c>
      <c r="C23" s="7" t="s">
        <v>50</v>
      </c>
      <c r="D23" s="6" t="s">
        <v>310</v>
      </c>
      <c r="E23" s="5" t="s">
        <v>53</v>
      </c>
      <c r="F23" s="5" t="s">
        <v>214</v>
      </c>
      <c r="G23" s="5" t="str">
        <f t="shared" si="0"/>
        <v>0x3104</v>
      </c>
      <c r="H23" s="7">
        <f>H50+100</f>
        <v>12548</v>
      </c>
      <c r="I23" s="6" t="str">
        <f t="shared" ref="I23:I32" si="6">_xlfn.CONCAT(4,H23+1)</f>
        <v>412549</v>
      </c>
      <c r="J23" s="5" t="s">
        <v>284</v>
      </c>
      <c r="K23" s="5" t="s">
        <v>12</v>
      </c>
      <c r="L23" s="5" t="s">
        <v>12</v>
      </c>
      <c r="M23" s="5" t="s">
        <v>12</v>
      </c>
      <c r="N23" s="7" t="s">
        <v>12</v>
      </c>
      <c r="O23" s="7" t="s">
        <v>13</v>
      </c>
      <c r="P23" t="str">
        <f>_xlfn.CONCAT("arSW[",X1,"]")</f>
        <v>arSW[1]</v>
      </c>
      <c r="Q23" s="6" t="s">
        <v>145</v>
      </c>
      <c r="R23" s="5" t="s">
        <v>12</v>
      </c>
      <c r="X23">
        <f t="shared" si="2"/>
        <v>23</v>
      </c>
    </row>
    <row r="24" spans="1:24" ht="14.25" customHeight="1" x14ac:dyDescent="0.3">
      <c r="A24" s="5" t="s">
        <v>40</v>
      </c>
      <c r="B24" s="7" t="s">
        <v>51</v>
      </c>
      <c r="C24" s="7" t="s">
        <v>52</v>
      </c>
      <c r="D24" s="6" t="s">
        <v>310</v>
      </c>
      <c r="E24" s="7" t="s">
        <v>53</v>
      </c>
      <c r="F24" s="5" t="s">
        <v>214</v>
      </c>
      <c r="G24" s="5" t="str">
        <f t="shared" si="0"/>
        <v>0x3106</v>
      </c>
      <c r="H24" s="7">
        <f t="shared" ref="H24:H32" si="7">H23+2</f>
        <v>12550</v>
      </c>
      <c r="I24" s="6" t="str">
        <f t="shared" si="6"/>
        <v>412551</v>
      </c>
      <c r="J24" s="5" t="s">
        <v>285</v>
      </c>
      <c r="K24" s="5" t="s">
        <v>12</v>
      </c>
      <c r="L24" s="5" t="s">
        <v>12</v>
      </c>
      <c r="M24" s="5" t="s">
        <v>12</v>
      </c>
      <c r="N24" s="7" t="s">
        <v>12</v>
      </c>
      <c r="O24" s="7" t="s">
        <v>13</v>
      </c>
      <c r="P24" t="str">
        <f t="shared" ref="P24:P32" si="8">_xlfn.CONCAT("arSW[",X2,"]")</f>
        <v>arSW[2]</v>
      </c>
      <c r="Q24" s="6" t="s">
        <v>145</v>
      </c>
      <c r="R24" s="5" t="s">
        <v>12</v>
      </c>
      <c r="X24">
        <f t="shared" si="2"/>
        <v>24</v>
      </c>
    </row>
    <row r="25" spans="1:24" ht="14.25" customHeight="1" x14ac:dyDescent="0.3">
      <c r="A25" s="5" t="s">
        <v>40</v>
      </c>
      <c r="B25" s="7" t="s">
        <v>54</v>
      </c>
      <c r="C25" s="7" t="s">
        <v>55</v>
      </c>
      <c r="D25" s="6" t="s">
        <v>310</v>
      </c>
      <c r="E25" s="7" t="s">
        <v>53</v>
      </c>
      <c r="F25" s="5" t="s">
        <v>214</v>
      </c>
      <c r="G25" s="5" t="str">
        <f t="shared" si="0"/>
        <v>0x3108</v>
      </c>
      <c r="H25" s="7">
        <f t="shared" si="7"/>
        <v>12552</v>
      </c>
      <c r="I25" s="6" t="str">
        <f t="shared" si="6"/>
        <v>412553</v>
      </c>
      <c r="J25" s="5" t="s">
        <v>286</v>
      </c>
      <c r="K25" s="5" t="s">
        <v>12</v>
      </c>
      <c r="L25" s="5" t="s">
        <v>12</v>
      </c>
      <c r="M25" s="5" t="s">
        <v>12</v>
      </c>
      <c r="N25" s="7" t="s">
        <v>12</v>
      </c>
      <c r="O25" s="7" t="s">
        <v>13</v>
      </c>
      <c r="P25" t="str">
        <f t="shared" si="8"/>
        <v>arSW[3]</v>
      </c>
      <c r="Q25" s="6" t="s">
        <v>145</v>
      </c>
      <c r="R25" s="5" t="s">
        <v>12</v>
      </c>
      <c r="X25">
        <f t="shared" si="2"/>
        <v>25</v>
      </c>
    </row>
    <row r="26" spans="1:24" ht="14.25" customHeight="1" x14ac:dyDescent="0.3">
      <c r="A26" s="5" t="s">
        <v>40</v>
      </c>
      <c r="B26" s="7" t="s">
        <v>56</v>
      </c>
      <c r="C26" s="7" t="s">
        <v>57</v>
      </c>
      <c r="D26" s="6" t="s">
        <v>310</v>
      </c>
      <c r="E26" s="7" t="s">
        <v>53</v>
      </c>
      <c r="F26" s="5" t="s">
        <v>214</v>
      </c>
      <c r="G26" s="5" t="str">
        <f t="shared" si="0"/>
        <v>0x310A</v>
      </c>
      <c r="H26" s="7">
        <f t="shared" si="7"/>
        <v>12554</v>
      </c>
      <c r="I26" s="6" t="str">
        <f t="shared" si="6"/>
        <v>412555</v>
      </c>
      <c r="J26" s="5" t="s">
        <v>287</v>
      </c>
      <c r="K26" s="5" t="s">
        <v>12</v>
      </c>
      <c r="L26" s="5" t="s">
        <v>12</v>
      </c>
      <c r="M26" s="5" t="s">
        <v>12</v>
      </c>
      <c r="N26" s="7" t="s">
        <v>12</v>
      </c>
      <c r="O26" s="7" t="s">
        <v>13</v>
      </c>
      <c r="P26" t="str">
        <f t="shared" si="8"/>
        <v>arSW[4]</v>
      </c>
      <c r="Q26" s="6" t="s">
        <v>145</v>
      </c>
      <c r="R26" s="5" t="s">
        <v>12</v>
      </c>
      <c r="X26">
        <f t="shared" si="2"/>
        <v>26</v>
      </c>
    </row>
    <row r="27" spans="1:24" ht="14.25" customHeight="1" x14ac:dyDescent="0.3">
      <c r="A27" s="5" t="s">
        <v>40</v>
      </c>
      <c r="B27" s="7" t="s">
        <v>58</v>
      </c>
      <c r="C27" s="7" t="s">
        <v>59</v>
      </c>
      <c r="D27" s="6" t="s">
        <v>310</v>
      </c>
      <c r="E27" s="7" t="s">
        <v>53</v>
      </c>
      <c r="F27" s="5" t="s">
        <v>214</v>
      </c>
      <c r="G27" s="5" t="str">
        <f t="shared" si="0"/>
        <v>0x310C</v>
      </c>
      <c r="H27" s="7">
        <f t="shared" si="7"/>
        <v>12556</v>
      </c>
      <c r="I27" s="6" t="str">
        <f t="shared" si="6"/>
        <v>412557</v>
      </c>
      <c r="J27" s="5" t="s">
        <v>288</v>
      </c>
      <c r="K27" s="5" t="s">
        <v>12</v>
      </c>
      <c r="L27" s="5" t="s">
        <v>12</v>
      </c>
      <c r="M27" s="5" t="s">
        <v>12</v>
      </c>
      <c r="N27" s="7" t="s">
        <v>12</v>
      </c>
      <c r="O27" s="7" t="s">
        <v>13</v>
      </c>
      <c r="P27" t="str">
        <f t="shared" si="8"/>
        <v>arSW[5]</v>
      </c>
      <c r="Q27" s="6" t="s">
        <v>145</v>
      </c>
      <c r="R27" s="5" t="s">
        <v>12</v>
      </c>
      <c r="X27">
        <f t="shared" si="2"/>
        <v>27</v>
      </c>
    </row>
    <row r="28" spans="1:24" ht="14.25" hidden="1" customHeight="1" x14ac:dyDescent="0.3">
      <c r="A28" s="5" t="s">
        <v>40</v>
      </c>
      <c r="B28" s="7" t="s">
        <v>60</v>
      </c>
      <c r="C28" s="7" t="s">
        <v>61</v>
      </c>
      <c r="D28" s="6" t="s">
        <v>330</v>
      </c>
      <c r="E28" s="7" t="s">
        <v>53</v>
      </c>
      <c r="F28" s="5" t="s">
        <v>214</v>
      </c>
      <c r="G28" s="5" t="str">
        <f t="shared" si="0"/>
        <v>0x310E</v>
      </c>
      <c r="H28" s="7">
        <f t="shared" si="7"/>
        <v>12558</v>
      </c>
      <c r="I28" s="6" t="str">
        <f t="shared" si="6"/>
        <v>412559</v>
      </c>
      <c r="J28" s="5" t="s">
        <v>289</v>
      </c>
      <c r="K28" s="5" t="s">
        <v>12</v>
      </c>
      <c r="L28" s="5" t="s">
        <v>12</v>
      </c>
      <c r="M28" s="5" t="s">
        <v>12</v>
      </c>
      <c r="N28" s="7" t="s">
        <v>12</v>
      </c>
      <c r="O28" s="7" t="s">
        <v>13</v>
      </c>
      <c r="P28" t="str">
        <f t="shared" si="8"/>
        <v>arSW[6]</v>
      </c>
      <c r="Q28" s="5" t="s">
        <v>13</v>
      </c>
      <c r="R28" s="5" t="s">
        <v>12</v>
      </c>
      <c r="X28">
        <f t="shared" si="2"/>
        <v>28</v>
      </c>
    </row>
    <row r="29" spans="1:24" ht="14.25" hidden="1" customHeight="1" x14ac:dyDescent="0.3">
      <c r="A29" s="5" t="s">
        <v>40</v>
      </c>
      <c r="B29" s="7" t="s">
        <v>62</v>
      </c>
      <c r="C29" s="7" t="s">
        <v>63</v>
      </c>
      <c r="D29" s="6" t="s">
        <v>330</v>
      </c>
      <c r="E29" s="7" t="s">
        <v>53</v>
      </c>
      <c r="F29" s="5" t="s">
        <v>214</v>
      </c>
      <c r="G29" s="5" t="str">
        <f t="shared" si="0"/>
        <v>0x3110</v>
      </c>
      <c r="H29" s="7">
        <f t="shared" si="7"/>
        <v>12560</v>
      </c>
      <c r="I29" s="6" t="str">
        <f t="shared" si="6"/>
        <v>412561</v>
      </c>
      <c r="J29" s="5" t="s">
        <v>290</v>
      </c>
      <c r="K29" s="5" t="s">
        <v>12</v>
      </c>
      <c r="L29" s="5" t="s">
        <v>12</v>
      </c>
      <c r="M29" s="5" t="s">
        <v>12</v>
      </c>
      <c r="N29" s="7" t="s">
        <v>12</v>
      </c>
      <c r="O29" s="7" t="s">
        <v>13</v>
      </c>
      <c r="P29" t="str">
        <f t="shared" si="8"/>
        <v>arSW[7]</v>
      </c>
      <c r="Q29" s="5" t="s">
        <v>13</v>
      </c>
      <c r="R29" s="5" t="s">
        <v>12</v>
      </c>
      <c r="X29">
        <f t="shared" si="2"/>
        <v>29</v>
      </c>
    </row>
    <row r="30" spans="1:24" ht="14.25" hidden="1" customHeight="1" x14ac:dyDescent="0.3">
      <c r="A30" s="5" t="s">
        <v>40</v>
      </c>
      <c r="B30" s="7" t="s">
        <v>64</v>
      </c>
      <c r="C30" s="7" t="s">
        <v>65</v>
      </c>
      <c r="D30" s="6" t="s">
        <v>330</v>
      </c>
      <c r="E30" s="7" t="s">
        <v>53</v>
      </c>
      <c r="F30" s="5" t="s">
        <v>214</v>
      </c>
      <c r="G30" s="5" t="str">
        <f t="shared" si="0"/>
        <v>0x3112</v>
      </c>
      <c r="H30" s="7">
        <f t="shared" si="7"/>
        <v>12562</v>
      </c>
      <c r="I30" s="6" t="str">
        <f t="shared" si="6"/>
        <v>412563</v>
      </c>
      <c r="J30" s="5" t="s">
        <v>291</v>
      </c>
      <c r="K30" s="5" t="s">
        <v>12</v>
      </c>
      <c r="L30" s="5" t="s">
        <v>12</v>
      </c>
      <c r="M30" s="5" t="s">
        <v>12</v>
      </c>
      <c r="N30" s="7" t="s">
        <v>12</v>
      </c>
      <c r="O30" s="7" t="s">
        <v>13</v>
      </c>
      <c r="P30" t="str">
        <f t="shared" si="8"/>
        <v>arSW[8]</v>
      </c>
      <c r="Q30" s="5" t="s">
        <v>13</v>
      </c>
      <c r="R30" s="5" t="s">
        <v>12</v>
      </c>
      <c r="X30">
        <f t="shared" si="2"/>
        <v>30</v>
      </c>
    </row>
    <row r="31" spans="1:24" ht="14.25" customHeight="1" x14ac:dyDescent="0.3">
      <c r="A31" s="5" t="s">
        <v>40</v>
      </c>
      <c r="B31" s="7" t="s">
        <v>66</v>
      </c>
      <c r="C31" s="5" t="s">
        <v>202</v>
      </c>
      <c r="D31" s="6" t="s">
        <v>310</v>
      </c>
      <c r="E31" s="7" t="s">
        <v>53</v>
      </c>
      <c r="F31" s="5" t="s">
        <v>214</v>
      </c>
      <c r="G31" s="5" t="str">
        <f t="shared" si="0"/>
        <v>0x3114</v>
      </c>
      <c r="H31" s="7">
        <f t="shared" si="7"/>
        <v>12564</v>
      </c>
      <c r="I31" s="6" t="str">
        <f t="shared" si="6"/>
        <v>412565</v>
      </c>
      <c r="J31" s="5" t="s">
        <v>292</v>
      </c>
      <c r="K31" s="5" t="s">
        <v>12</v>
      </c>
      <c r="L31" s="5" t="s">
        <v>12</v>
      </c>
      <c r="M31" s="5" t="s">
        <v>12</v>
      </c>
      <c r="N31" s="7" t="s">
        <v>12</v>
      </c>
      <c r="O31" s="7" t="s">
        <v>13</v>
      </c>
      <c r="P31" t="str">
        <f t="shared" si="8"/>
        <v>arSW[9]</v>
      </c>
      <c r="Q31" s="5" t="s">
        <v>145</v>
      </c>
      <c r="R31" s="5" t="s">
        <v>12</v>
      </c>
      <c r="X31">
        <f t="shared" si="2"/>
        <v>31</v>
      </c>
    </row>
    <row r="32" spans="1:24" ht="14.25" customHeight="1" x14ac:dyDescent="0.3">
      <c r="A32" s="5" t="s">
        <v>40</v>
      </c>
      <c r="B32" s="7" t="s">
        <v>67</v>
      </c>
      <c r="C32" s="5" t="s">
        <v>203</v>
      </c>
      <c r="D32" s="6" t="s">
        <v>310</v>
      </c>
      <c r="E32" s="5" t="s">
        <v>53</v>
      </c>
      <c r="F32" s="5" t="s">
        <v>214</v>
      </c>
      <c r="G32" s="5" t="str">
        <f t="shared" si="0"/>
        <v>0x3116</v>
      </c>
      <c r="H32" s="7">
        <f t="shared" si="7"/>
        <v>12566</v>
      </c>
      <c r="I32" s="6" t="str">
        <f t="shared" si="6"/>
        <v>412567</v>
      </c>
      <c r="J32" s="5" t="s">
        <v>293</v>
      </c>
      <c r="K32" s="5" t="s">
        <v>12</v>
      </c>
      <c r="L32" s="5" t="s">
        <v>12</v>
      </c>
      <c r="M32" s="5" t="s">
        <v>12</v>
      </c>
      <c r="N32" s="7" t="s">
        <v>12</v>
      </c>
      <c r="O32" s="7" t="s">
        <v>13</v>
      </c>
      <c r="P32" t="str">
        <f t="shared" si="8"/>
        <v>arSW[10]</v>
      </c>
      <c r="Q32" s="5" t="s">
        <v>145</v>
      </c>
      <c r="R32" s="5" t="s">
        <v>12</v>
      </c>
      <c r="X32">
        <f t="shared" si="2"/>
        <v>32</v>
      </c>
    </row>
    <row r="33" spans="1:24" ht="14.25" hidden="1" customHeight="1" x14ac:dyDescent="0.3">
      <c r="A33" s="5" t="s">
        <v>40</v>
      </c>
      <c r="B33" s="7" t="s">
        <v>68</v>
      </c>
      <c r="C33" s="7" t="s">
        <v>69</v>
      </c>
      <c r="D33" s="6" t="s">
        <v>330</v>
      </c>
      <c r="E33" s="7" t="s">
        <v>11</v>
      </c>
      <c r="F33" s="5" t="s">
        <v>214</v>
      </c>
      <c r="G33" s="5" t="str">
        <f t="shared" si="0"/>
        <v>0x3014</v>
      </c>
      <c r="H33" s="7">
        <f>H22+1</f>
        <v>12308</v>
      </c>
      <c r="I33" s="6" t="str">
        <f t="shared" ref="I33:I44" si="9">_xlfn.CONCAT(0,H33+1)</f>
        <v>012309</v>
      </c>
      <c r="J33" s="5" t="s">
        <v>244</v>
      </c>
      <c r="K33" s="5" t="s">
        <v>12</v>
      </c>
      <c r="L33" s="5" t="s">
        <v>12</v>
      </c>
      <c r="M33" s="5" t="s">
        <v>12</v>
      </c>
      <c r="N33" s="7" t="s">
        <v>12</v>
      </c>
      <c r="O33" s="7" t="s">
        <v>13</v>
      </c>
      <c r="P33" t="str">
        <f>_xlfn.CONCAT("axSIG[",X5,"]")</f>
        <v>axSIG[5]</v>
      </c>
      <c r="Q33" s="5" t="s">
        <v>13</v>
      </c>
      <c r="R33" s="5" t="s">
        <v>12</v>
      </c>
      <c r="X33">
        <f t="shared" si="2"/>
        <v>33</v>
      </c>
    </row>
    <row r="34" spans="1:24" ht="14.25" hidden="1" customHeight="1" x14ac:dyDescent="0.3">
      <c r="A34" s="5" t="s">
        <v>40</v>
      </c>
      <c r="B34" s="7" t="s">
        <v>70</v>
      </c>
      <c r="C34" s="7" t="s">
        <v>71</v>
      </c>
      <c r="D34" s="6" t="s">
        <v>330</v>
      </c>
      <c r="E34" s="7" t="s">
        <v>11</v>
      </c>
      <c r="F34" s="5" t="s">
        <v>214</v>
      </c>
      <c r="G34" s="5" t="str">
        <f t="shared" si="0"/>
        <v>0x3015</v>
      </c>
      <c r="H34" s="7">
        <f t="shared" ref="H34:H42" si="10">H33+1</f>
        <v>12309</v>
      </c>
      <c r="I34" s="6" t="str">
        <f t="shared" si="9"/>
        <v>012310</v>
      </c>
      <c r="J34" s="5" t="s">
        <v>245</v>
      </c>
      <c r="K34" s="5" t="s">
        <v>12</v>
      </c>
      <c r="L34" s="5" t="s">
        <v>12</v>
      </c>
      <c r="M34" s="5" t="s">
        <v>12</v>
      </c>
      <c r="N34" s="7" t="s">
        <v>12</v>
      </c>
      <c r="O34" s="7" t="s">
        <v>13</v>
      </c>
      <c r="P34" t="str">
        <f t="shared" ref="P34:P42" si="11">_xlfn.CONCAT("axSIG[",X6,"]")</f>
        <v>axSIG[6]</v>
      </c>
      <c r="Q34" s="5" t="s">
        <v>13</v>
      </c>
      <c r="R34" s="5" t="s">
        <v>12</v>
      </c>
      <c r="X34">
        <f t="shared" si="2"/>
        <v>34</v>
      </c>
    </row>
    <row r="35" spans="1:24" ht="14.25" hidden="1" customHeight="1" x14ac:dyDescent="0.3">
      <c r="A35" s="5" t="s">
        <v>40</v>
      </c>
      <c r="B35" s="7" t="s">
        <v>72</v>
      </c>
      <c r="C35" s="7" t="s">
        <v>73</v>
      </c>
      <c r="D35" s="6" t="s">
        <v>330</v>
      </c>
      <c r="E35" s="7" t="s">
        <v>11</v>
      </c>
      <c r="F35" s="5" t="s">
        <v>214</v>
      </c>
      <c r="G35" s="5" t="str">
        <f t="shared" ref="G35:G66" si="12">_xlfn.CONCAT("0x",DEC2HEX(H35))</f>
        <v>0x3016</v>
      </c>
      <c r="H35" s="7">
        <f t="shared" si="10"/>
        <v>12310</v>
      </c>
      <c r="I35" s="6" t="str">
        <f t="shared" si="9"/>
        <v>012311</v>
      </c>
      <c r="J35" s="5" t="s">
        <v>246</v>
      </c>
      <c r="K35" s="5" t="s">
        <v>12</v>
      </c>
      <c r="L35" s="5" t="s">
        <v>12</v>
      </c>
      <c r="M35" s="5" t="s">
        <v>12</v>
      </c>
      <c r="N35" s="7" t="s">
        <v>12</v>
      </c>
      <c r="O35" s="7" t="s">
        <v>13</v>
      </c>
      <c r="P35" t="str">
        <f t="shared" si="11"/>
        <v>axSIG[7]</v>
      </c>
      <c r="Q35" s="5" t="s">
        <v>13</v>
      </c>
      <c r="R35" s="5" t="s">
        <v>12</v>
      </c>
      <c r="X35">
        <f t="shared" si="2"/>
        <v>35</v>
      </c>
    </row>
    <row r="36" spans="1:24" ht="14.25" hidden="1" customHeight="1" x14ac:dyDescent="0.3">
      <c r="A36" s="5" t="s">
        <v>40</v>
      </c>
      <c r="B36" s="7" t="s">
        <v>74</v>
      </c>
      <c r="C36" s="7" t="s">
        <v>75</v>
      </c>
      <c r="D36" s="6" t="s">
        <v>330</v>
      </c>
      <c r="E36" s="7" t="s">
        <v>11</v>
      </c>
      <c r="F36" s="5" t="s">
        <v>214</v>
      </c>
      <c r="G36" s="5" t="str">
        <f t="shared" si="12"/>
        <v>0x3017</v>
      </c>
      <c r="H36" s="7">
        <f t="shared" si="10"/>
        <v>12311</v>
      </c>
      <c r="I36" s="6" t="str">
        <f t="shared" si="9"/>
        <v>012312</v>
      </c>
      <c r="J36" s="5" t="s">
        <v>247</v>
      </c>
      <c r="K36" s="5" t="s">
        <v>12</v>
      </c>
      <c r="L36" s="5" t="s">
        <v>12</v>
      </c>
      <c r="M36" s="5" t="s">
        <v>12</v>
      </c>
      <c r="N36" s="7" t="s">
        <v>12</v>
      </c>
      <c r="O36" s="7" t="s">
        <v>13</v>
      </c>
      <c r="P36" t="str">
        <f t="shared" si="11"/>
        <v>axSIG[8]</v>
      </c>
      <c r="Q36" s="5" t="s">
        <v>13</v>
      </c>
      <c r="R36" s="5" t="s">
        <v>12</v>
      </c>
      <c r="X36">
        <f t="shared" si="2"/>
        <v>36</v>
      </c>
    </row>
    <row r="37" spans="1:24" ht="14.25" hidden="1" customHeight="1" x14ac:dyDescent="0.3">
      <c r="A37" s="5" t="s">
        <v>40</v>
      </c>
      <c r="B37" s="7" t="s">
        <v>76</v>
      </c>
      <c r="C37" s="7" t="s">
        <v>77</v>
      </c>
      <c r="D37" s="6" t="s">
        <v>330</v>
      </c>
      <c r="E37" s="7" t="s">
        <v>11</v>
      </c>
      <c r="F37" s="5" t="s">
        <v>214</v>
      </c>
      <c r="G37" s="5" t="str">
        <f t="shared" si="12"/>
        <v>0x3018</v>
      </c>
      <c r="H37" s="7">
        <f t="shared" si="10"/>
        <v>12312</v>
      </c>
      <c r="I37" s="6" t="str">
        <f t="shared" si="9"/>
        <v>012313</v>
      </c>
      <c r="J37" s="5" t="s">
        <v>248</v>
      </c>
      <c r="K37" s="5" t="s">
        <v>12</v>
      </c>
      <c r="L37" s="5" t="s">
        <v>12</v>
      </c>
      <c r="M37" s="5" t="s">
        <v>12</v>
      </c>
      <c r="N37" s="7" t="s">
        <v>12</v>
      </c>
      <c r="O37" s="7" t="s">
        <v>13</v>
      </c>
      <c r="P37" t="str">
        <f t="shared" si="11"/>
        <v>axSIG[9]</v>
      </c>
      <c r="Q37" s="5" t="s">
        <v>13</v>
      </c>
      <c r="R37" s="5" t="s">
        <v>12</v>
      </c>
      <c r="X37">
        <f t="shared" si="2"/>
        <v>37</v>
      </c>
    </row>
    <row r="38" spans="1:24" ht="14.25" customHeight="1" x14ac:dyDescent="0.3">
      <c r="A38" s="5" t="s">
        <v>40</v>
      </c>
      <c r="B38" s="7" t="s">
        <v>78</v>
      </c>
      <c r="C38" s="7" t="s">
        <v>79</v>
      </c>
      <c r="D38" s="6" t="s">
        <v>310</v>
      </c>
      <c r="E38" s="7" t="s">
        <v>11</v>
      </c>
      <c r="F38" s="5" t="s">
        <v>214</v>
      </c>
      <c r="G38" s="5" t="str">
        <f t="shared" si="12"/>
        <v>0x3019</v>
      </c>
      <c r="H38" s="7">
        <f t="shared" si="10"/>
        <v>12313</v>
      </c>
      <c r="I38" s="6" t="str">
        <f t="shared" si="9"/>
        <v>012314</v>
      </c>
      <c r="J38" s="5" t="s">
        <v>250</v>
      </c>
      <c r="K38" s="5" t="s">
        <v>12</v>
      </c>
      <c r="L38" s="5" t="s">
        <v>12</v>
      </c>
      <c r="M38" s="5" t="s">
        <v>12</v>
      </c>
      <c r="N38" s="7" t="s">
        <v>12</v>
      </c>
      <c r="O38" s="7" t="s">
        <v>13</v>
      </c>
      <c r="P38" t="str">
        <f t="shared" si="11"/>
        <v>axSIG[10]</v>
      </c>
      <c r="Q38" s="5" t="s">
        <v>145</v>
      </c>
      <c r="R38" s="5" t="s">
        <v>12</v>
      </c>
      <c r="X38">
        <f t="shared" si="2"/>
        <v>38</v>
      </c>
    </row>
    <row r="39" spans="1:24" ht="14.25" customHeight="1" x14ac:dyDescent="0.3">
      <c r="A39" s="5" t="s">
        <v>40</v>
      </c>
      <c r="B39" s="7" t="s">
        <v>80</v>
      </c>
      <c r="C39" s="7" t="s">
        <v>81</v>
      </c>
      <c r="D39" s="6" t="s">
        <v>310</v>
      </c>
      <c r="E39" s="7" t="s">
        <v>11</v>
      </c>
      <c r="F39" s="5" t="s">
        <v>214</v>
      </c>
      <c r="G39" s="5" t="str">
        <f t="shared" si="12"/>
        <v>0x301A</v>
      </c>
      <c r="H39" s="7">
        <f t="shared" si="10"/>
        <v>12314</v>
      </c>
      <c r="I39" s="6" t="str">
        <f t="shared" si="9"/>
        <v>012315</v>
      </c>
      <c r="J39" s="5" t="s">
        <v>251</v>
      </c>
      <c r="K39" s="5" t="s">
        <v>12</v>
      </c>
      <c r="L39" s="5" t="s">
        <v>12</v>
      </c>
      <c r="M39" s="5" t="s">
        <v>12</v>
      </c>
      <c r="N39" s="7" t="s">
        <v>12</v>
      </c>
      <c r="O39" s="7" t="s">
        <v>13</v>
      </c>
      <c r="P39" t="str">
        <f t="shared" si="11"/>
        <v>axSIG[11]</v>
      </c>
      <c r="Q39" s="5" t="s">
        <v>145</v>
      </c>
      <c r="R39" s="5" t="s">
        <v>12</v>
      </c>
      <c r="X39">
        <f t="shared" si="2"/>
        <v>39</v>
      </c>
    </row>
    <row r="40" spans="1:24" ht="14.25" customHeight="1" x14ac:dyDescent="0.3">
      <c r="A40" s="5" t="s">
        <v>40</v>
      </c>
      <c r="B40" s="7" t="s">
        <v>82</v>
      </c>
      <c r="C40" s="7" t="s">
        <v>83</v>
      </c>
      <c r="D40" s="6" t="s">
        <v>310</v>
      </c>
      <c r="E40" s="7" t="s">
        <v>11</v>
      </c>
      <c r="F40" s="5" t="s">
        <v>214</v>
      </c>
      <c r="G40" s="5" t="str">
        <f t="shared" si="12"/>
        <v>0x301B</v>
      </c>
      <c r="H40" s="7">
        <f t="shared" si="10"/>
        <v>12315</v>
      </c>
      <c r="I40" s="6" t="str">
        <f t="shared" si="9"/>
        <v>012316</v>
      </c>
      <c r="J40" s="5" t="s">
        <v>252</v>
      </c>
      <c r="K40" s="5" t="s">
        <v>12</v>
      </c>
      <c r="L40" s="5" t="s">
        <v>12</v>
      </c>
      <c r="M40" s="5" t="s">
        <v>12</v>
      </c>
      <c r="N40" s="7" t="s">
        <v>12</v>
      </c>
      <c r="O40" s="7" t="s">
        <v>13</v>
      </c>
      <c r="P40" t="str">
        <f t="shared" si="11"/>
        <v>axSIG[12]</v>
      </c>
      <c r="Q40" s="5" t="s">
        <v>145</v>
      </c>
      <c r="R40" s="5" t="s">
        <v>12</v>
      </c>
      <c r="X40">
        <f t="shared" si="2"/>
        <v>40</v>
      </c>
    </row>
    <row r="41" spans="1:24" ht="14.25" customHeight="1" x14ac:dyDescent="0.3">
      <c r="A41" s="5" t="s">
        <v>40</v>
      </c>
      <c r="B41" s="7" t="s">
        <v>84</v>
      </c>
      <c r="C41" s="7" t="s">
        <v>85</v>
      </c>
      <c r="D41" s="6" t="s">
        <v>310</v>
      </c>
      <c r="E41" s="7" t="s">
        <v>11</v>
      </c>
      <c r="F41" s="5" t="s">
        <v>214</v>
      </c>
      <c r="G41" s="5" t="str">
        <f t="shared" si="12"/>
        <v>0x301C</v>
      </c>
      <c r="H41" s="7">
        <f t="shared" si="10"/>
        <v>12316</v>
      </c>
      <c r="I41" s="6" t="str">
        <f t="shared" si="9"/>
        <v>012317</v>
      </c>
      <c r="J41" s="5" t="s">
        <v>249</v>
      </c>
      <c r="K41" s="5" t="s">
        <v>12</v>
      </c>
      <c r="L41" s="5" t="s">
        <v>12</v>
      </c>
      <c r="M41" s="5" t="s">
        <v>12</v>
      </c>
      <c r="N41" s="7" t="s">
        <v>12</v>
      </c>
      <c r="O41" s="7" t="s">
        <v>13</v>
      </c>
      <c r="P41" t="str">
        <f t="shared" si="11"/>
        <v>axSIG[13]</v>
      </c>
      <c r="Q41" s="5" t="s">
        <v>145</v>
      </c>
      <c r="R41" s="5" t="s">
        <v>12</v>
      </c>
      <c r="X41">
        <f t="shared" si="2"/>
        <v>41</v>
      </c>
    </row>
    <row r="42" spans="1:24" ht="14.25" customHeight="1" x14ac:dyDescent="0.3">
      <c r="A42" s="5" t="s">
        <v>40</v>
      </c>
      <c r="B42" s="7" t="s">
        <v>86</v>
      </c>
      <c r="C42" s="7" t="s">
        <v>87</v>
      </c>
      <c r="D42" s="6" t="s">
        <v>310</v>
      </c>
      <c r="E42" s="7" t="s">
        <v>11</v>
      </c>
      <c r="F42" s="5" t="s">
        <v>214</v>
      </c>
      <c r="G42" s="5" t="str">
        <f t="shared" si="12"/>
        <v>0x301D</v>
      </c>
      <c r="H42" s="7">
        <f t="shared" si="10"/>
        <v>12317</v>
      </c>
      <c r="I42" s="6" t="str">
        <f t="shared" si="9"/>
        <v>012318</v>
      </c>
      <c r="J42" s="5" t="s">
        <v>253</v>
      </c>
      <c r="K42" s="5" t="s">
        <v>12</v>
      </c>
      <c r="L42" s="5" t="s">
        <v>12</v>
      </c>
      <c r="M42" s="5" t="s">
        <v>12</v>
      </c>
      <c r="N42" s="7" t="s">
        <v>12</v>
      </c>
      <c r="O42" s="7" t="s">
        <v>13</v>
      </c>
      <c r="P42" t="str">
        <f t="shared" si="11"/>
        <v>axSIG[14]</v>
      </c>
      <c r="Q42" s="5" t="s">
        <v>145</v>
      </c>
      <c r="R42" s="5" t="s">
        <v>12</v>
      </c>
      <c r="X42">
        <f t="shared" si="2"/>
        <v>42</v>
      </c>
    </row>
    <row r="43" spans="1:24" ht="14.25" hidden="1" customHeight="1" x14ac:dyDescent="0.3">
      <c r="A43" s="5" t="s">
        <v>40</v>
      </c>
      <c r="B43" s="7" t="s">
        <v>88</v>
      </c>
      <c r="C43" s="5" t="s">
        <v>217</v>
      </c>
      <c r="D43" s="6" t="s">
        <v>330</v>
      </c>
      <c r="E43" s="5" t="s">
        <v>205</v>
      </c>
      <c r="F43" s="5" t="s">
        <v>214</v>
      </c>
      <c r="G43" s="5" t="str">
        <f t="shared" si="12"/>
        <v>0x309C</v>
      </c>
      <c r="H43" s="5">
        <f>H76+100</f>
        <v>12444</v>
      </c>
      <c r="I43" s="6" t="str">
        <f t="shared" si="9"/>
        <v>012445</v>
      </c>
      <c r="J43" s="5" t="s">
        <v>281</v>
      </c>
      <c r="K43" s="5" t="s">
        <v>12</v>
      </c>
      <c r="L43" s="5" t="s">
        <v>12</v>
      </c>
      <c r="M43" s="5" t="s">
        <v>12</v>
      </c>
      <c r="N43" s="7" t="s">
        <v>12</v>
      </c>
      <c r="O43" s="7" t="s">
        <v>13</v>
      </c>
      <c r="P43" t="str">
        <f>_xlfn.CONCAT("adiSW[",X1,"]")</f>
        <v>adiSW[1]</v>
      </c>
      <c r="Q43" s="5" t="s">
        <v>13</v>
      </c>
      <c r="R43" s="5" t="s">
        <v>12</v>
      </c>
      <c r="X43">
        <f t="shared" si="2"/>
        <v>43</v>
      </c>
    </row>
    <row r="44" spans="1:24" ht="14.25" hidden="1" customHeight="1" x14ac:dyDescent="0.3">
      <c r="A44" s="5" t="s">
        <v>40</v>
      </c>
      <c r="B44" t="s">
        <v>186</v>
      </c>
      <c r="C44" s="5" t="s">
        <v>256</v>
      </c>
      <c r="D44" s="6" t="s">
        <v>330</v>
      </c>
      <c r="E44" t="s">
        <v>11</v>
      </c>
      <c r="F44" s="5" t="s">
        <v>214</v>
      </c>
      <c r="G44" s="5" t="str">
        <f t="shared" si="12"/>
        <v>0x301E</v>
      </c>
      <c r="H44">
        <f>H42+1</f>
        <v>12318</v>
      </c>
      <c r="I44" s="6" t="str">
        <f t="shared" si="9"/>
        <v>012319</v>
      </c>
      <c r="J44" s="5" t="s">
        <v>254</v>
      </c>
      <c r="K44" s="5" t="s">
        <v>12</v>
      </c>
      <c r="L44" s="5" t="s">
        <v>12</v>
      </c>
      <c r="M44" s="5" t="s">
        <v>12</v>
      </c>
      <c r="N44" s="7" t="s">
        <v>12</v>
      </c>
      <c r="O44" s="7" t="s">
        <v>13</v>
      </c>
      <c r="P44" t="str">
        <f>_xlfn.CONCAT("axSIG[",X15,"]")</f>
        <v>axSIG[15]</v>
      </c>
      <c r="Q44" t="s">
        <v>13</v>
      </c>
      <c r="R44" s="5" t="s">
        <v>12</v>
      </c>
      <c r="X44">
        <f t="shared" si="2"/>
        <v>44</v>
      </c>
    </row>
    <row r="45" spans="1:24" ht="14.25" customHeight="1" x14ac:dyDescent="0.3">
      <c r="A45" s="5" t="s">
        <v>40</v>
      </c>
      <c r="B45" t="s">
        <v>188</v>
      </c>
      <c r="C45" t="s">
        <v>195</v>
      </c>
      <c r="D45" s="6" t="s">
        <v>310</v>
      </c>
      <c r="E45" s="5" t="s">
        <v>53</v>
      </c>
      <c r="F45" s="5" t="s">
        <v>214</v>
      </c>
      <c r="G45" s="5" t="str">
        <f t="shared" si="12"/>
        <v>0x3118</v>
      </c>
      <c r="H45">
        <f>H32+2</f>
        <v>12568</v>
      </c>
      <c r="I45" s="6" t="str">
        <f t="shared" ref="I45:I50" si="13">_xlfn.CONCAT(4,H45+1)</f>
        <v>412569</v>
      </c>
      <c r="J45" s="5" t="s">
        <v>294</v>
      </c>
      <c r="K45" s="5" t="s">
        <v>12</v>
      </c>
      <c r="L45" s="5" t="s">
        <v>12</v>
      </c>
      <c r="M45" s="5" t="s">
        <v>12</v>
      </c>
      <c r="N45" s="7" t="s">
        <v>12</v>
      </c>
      <c r="O45" s="7" t="s">
        <v>13</v>
      </c>
      <c r="P45" t="str">
        <f t="shared" ref="P45:P48" si="14">_xlfn.CONCAT("arSW[",X23,"]")</f>
        <v>arSW[23]</v>
      </c>
      <c r="Q45" t="s">
        <v>145</v>
      </c>
      <c r="R45" s="5" t="s">
        <v>12</v>
      </c>
      <c r="X45">
        <f t="shared" si="2"/>
        <v>45</v>
      </c>
    </row>
    <row r="46" spans="1:24" ht="14.25" customHeight="1" x14ac:dyDescent="0.3">
      <c r="A46" s="5" t="s">
        <v>40</v>
      </c>
      <c r="B46" t="s">
        <v>189</v>
      </c>
      <c r="C46" t="s">
        <v>196</v>
      </c>
      <c r="D46" s="6" t="s">
        <v>310</v>
      </c>
      <c r="E46" s="5" t="s">
        <v>53</v>
      </c>
      <c r="F46" s="5" t="s">
        <v>214</v>
      </c>
      <c r="G46" s="5" t="str">
        <f t="shared" si="12"/>
        <v>0x311A</v>
      </c>
      <c r="H46">
        <f>H45+2</f>
        <v>12570</v>
      </c>
      <c r="I46" s="6" t="str">
        <f t="shared" si="13"/>
        <v>412571</v>
      </c>
      <c r="J46" s="5" t="s">
        <v>295</v>
      </c>
      <c r="K46" s="5" t="s">
        <v>12</v>
      </c>
      <c r="L46" s="5" t="s">
        <v>12</v>
      </c>
      <c r="M46" s="5" t="s">
        <v>12</v>
      </c>
      <c r="N46" s="7" t="s">
        <v>12</v>
      </c>
      <c r="O46" s="7" t="s">
        <v>13</v>
      </c>
      <c r="P46" t="str">
        <f t="shared" si="14"/>
        <v>arSW[24]</v>
      </c>
      <c r="Q46" t="s">
        <v>145</v>
      </c>
      <c r="R46" s="5" t="s">
        <v>12</v>
      </c>
      <c r="X46">
        <f t="shared" si="2"/>
        <v>46</v>
      </c>
    </row>
    <row r="47" spans="1:24" ht="14.25" customHeight="1" x14ac:dyDescent="0.3">
      <c r="A47" s="5" t="s">
        <v>40</v>
      </c>
      <c r="B47" t="s">
        <v>190</v>
      </c>
      <c r="C47" t="s">
        <v>197</v>
      </c>
      <c r="D47" s="6" t="s">
        <v>310</v>
      </c>
      <c r="E47" s="5" t="s">
        <v>53</v>
      </c>
      <c r="F47" s="5" t="s">
        <v>214</v>
      </c>
      <c r="G47" s="5" t="str">
        <f t="shared" si="12"/>
        <v>0x311C</v>
      </c>
      <c r="H47">
        <f>H46+2</f>
        <v>12572</v>
      </c>
      <c r="I47" s="6" t="str">
        <f t="shared" si="13"/>
        <v>412573</v>
      </c>
      <c r="J47" s="5" t="s">
        <v>296</v>
      </c>
      <c r="K47" s="5" t="s">
        <v>12</v>
      </c>
      <c r="L47" s="5" t="s">
        <v>12</v>
      </c>
      <c r="M47" s="5" t="s">
        <v>12</v>
      </c>
      <c r="N47" s="7" t="s">
        <v>12</v>
      </c>
      <c r="O47" s="7" t="s">
        <v>13</v>
      </c>
      <c r="P47" t="str">
        <f t="shared" si="14"/>
        <v>arSW[25]</v>
      </c>
      <c r="Q47" t="s">
        <v>145</v>
      </c>
      <c r="R47" s="5" t="s">
        <v>12</v>
      </c>
      <c r="X47">
        <f t="shared" si="2"/>
        <v>47</v>
      </c>
    </row>
    <row r="48" spans="1:24" ht="14.25" customHeight="1" x14ac:dyDescent="0.3">
      <c r="A48" s="5" t="s">
        <v>40</v>
      </c>
      <c r="B48" t="s">
        <v>191</v>
      </c>
      <c r="C48" t="s">
        <v>198</v>
      </c>
      <c r="D48" s="6" t="s">
        <v>310</v>
      </c>
      <c r="E48" s="5" t="s">
        <v>53</v>
      </c>
      <c r="F48" s="5" t="s">
        <v>214</v>
      </c>
      <c r="G48" s="5" t="str">
        <f t="shared" si="12"/>
        <v>0x311E</v>
      </c>
      <c r="H48">
        <f>H47+2</f>
        <v>12574</v>
      </c>
      <c r="I48" s="6" t="str">
        <f t="shared" si="13"/>
        <v>412575</v>
      </c>
      <c r="J48" s="5" t="s">
        <v>297</v>
      </c>
      <c r="K48" s="5" t="s">
        <v>12</v>
      </c>
      <c r="L48" s="5" t="s">
        <v>12</v>
      </c>
      <c r="M48" s="5" t="s">
        <v>12</v>
      </c>
      <c r="N48" s="7" t="s">
        <v>12</v>
      </c>
      <c r="O48" s="7" t="s">
        <v>13</v>
      </c>
      <c r="P48" t="str">
        <f t="shared" si="14"/>
        <v>arSW[26]</v>
      </c>
      <c r="Q48" t="s">
        <v>145</v>
      </c>
      <c r="R48" s="5" t="s">
        <v>12</v>
      </c>
      <c r="X48">
        <f t="shared" si="2"/>
        <v>48</v>
      </c>
    </row>
    <row r="49" spans="1:24" ht="14.25" customHeight="1" x14ac:dyDescent="0.3">
      <c r="A49" s="5" t="s">
        <v>40</v>
      </c>
      <c r="B49" s="5" t="s">
        <v>192</v>
      </c>
      <c r="C49" s="5" t="s">
        <v>215</v>
      </c>
      <c r="D49" s="6" t="s">
        <v>310</v>
      </c>
      <c r="E49" s="5" t="s">
        <v>205</v>
      </c>
      <c r="F49" s="5" t="s">
        <v>214</v>
      </c>
      <c r="G49" s="5" t="str">
        <f t="shared" si="12"/>
        <v>0x309E</v>
      </c>
      <c r="H49">
        <f>H43+2</f>
        <v>12446</v>
      </c>
      <c r="I49" s="6" t="str">
        <f t="shared" si="13"/>
        <v>412447</v>
      </c>
      <c r="J49" s="5" t="s">
        <v>282</v>
      </c>
      <c r="K49" s="5" t="s">
        <v>12</v>
      </c>
      <c r="L49" s="5" t="s">
        <v>12</v>
      </c>
      <c r="M49" s="5" t="s">
        <v>12</v>
      </c>
      <c r="N49" s="7" t="s">
        <v>12</v>
      </c>
      <c r="O49" s="7" t="s">
        <v>13</v>
      </c>
      <c r="P49" t="str">
        <f>_xlfn.CONCAT("adiSW[",X2,"]")</f>
        <v>adiSW[2]</v>
      </c>
      <c r="Q49" t="s">
        <v>145</v>
      </c>
      <c r="R49" s="5" t="s">
        <v>12</v>
      </c>
      <c r="X49">
        <f t="shared" si="2"/>
        <v>49</v>
      </c>
    </row>
    <row r="50" spans="1:24" ht="14.25" customHeight="1" x14ac:dyDescent="0.3">
      <c r="A50" s="5" t="s">
        <v>40</v>
      </c>
      <c r="B50" s="5" t="s">
        <v>194</v>
      </c>
      <c r="C50" s="5" t="s">
        <v>216</v>
      </c>
      <c r="D50" s="6" t="s">
        <v>310</v>
      </c>
      <c r="E50" s="5" t="s">
        <v>205</v>
      </c>
      <c r="F50" s="5" t="s">
        <v>214</v>
      </c>
      <c r="G50" s="5" t="str">
        <f t="shared" si="12"/>
        <v>0x30A0</v>
      </c>
      <c r="H50">
        <f>H49+2</f>
        <v>12448</v>
      </c>
      <c r="I50" s="6" t="str">
        <f t="shared" si="13"/>
        <v>412449</v>
      </c>
      <c r="J50" s="5" t="s">
        <v>283</v>
      </c>
      <c r="K50" s="5" t="s">
        <v>12</v>
      </c>
      <c r="L50" s="5" t="s">
        <v>12</v>
      </c>
      <c r="M50" s="5" t="s">
        <v>12</v>
      </c>
      <c r="N50" s="7" t="s">
        <v>12</v>
      </c>
      <c r="O50" s="7" t="s">
        <v>13</v>
      </c>
      <c r="P50" t="str">
        <f>_xlfn.CONCAT("adiSW[",X3,"]")</f>
        <v>adiSW[3]</v>
      </c>
      <c r="Q50" t="s">
        <v>145</v>
      </c>
      <c r="R50" s="5" t="s">
        <v>12</v>
      </c>
      <c r="X50">
        <f t="shared" si="2"/>
        <v>50</v>
      </c>
    </row>
    <row r="51" spans="1:24" ht="14.25" customHeight="1" x14ac:dyDescent="0.3">
      <c r="A51" s="5" t="s">
        <v>89</v>
      </c>
      <c r="B51" s="5" t="s">
        <v>90</v>
      </c>
      <c r="C51" s="7" t="s">
        <v>91</v>
      </c>
      <c r="D51" s="6" t="s">
        <v>310</v>
      </c>
      <c r="E51" s="7" t="s">
        <v>11</v>
      </c>
      <c r="F51" s="5" t="s">
        <v>214</v>
      </c>
      <c r="G51" s="5" t="str">
        <f t="shared" si="12"/>
        <v>0x301F</v>
      </c>
      <c r="H51" s="7">
        <f>H44+1</f>
        <v>12319</v>
      </c>
      <c r="I51" s="6" t="str">
        <f t="shared" ref="I51:I76" si="15">_xlfn.CONCAT(0,H51+1)</f>
        <v>012320</v>
      </c>
      <c r="J51" s="5" t="s">
        <v>255</v>
      </c>
      <c r="K51" s="5" t="s">
        <v>12</v>
      </c>
      <c r="L51" s="5" t="s">
        <v>12</v>
      </c>
      <c r="M51" s="5" t="s">
        <v>12</v>
      </c>
      <c r="N51" s="7" t="s">
        <v>12</v>
      </c>
      <c r="O51" s="7" t="s">
        <v>13</v>
      </c>
      <c r="P51" t="str">
        <f>_xlfn.CONCAT("axALM[",X1,"]")</f>
        <v>axALM[1]</v>
      </c>
      <c r="Q51" t="s">
        <v>145</v>
      </c>
      <c r="R51" s="5" t="s">
        <v>12</v>
      </c>
      <c r="X51">
        <f t="shared" si="2"/>
        <v>51</v>
      </c>
    </row>
    <row r="52" spans="1:24" ht="14.25" customHeight="1" x14ac:dyDescent="0.3">
      <c r="A52" s="5" t="s">
        <v>89</v>
      </c>
      <c r="B52" s="7" t="s">
        <v>92</v>
      </c>
      <c r="C52" s="7" t="s">
        <v>93</v>
      </c>
      <c r="D52" s="6" t="s">
        <v>310</v>
      </c>
      <c r="E52" s="7" t="s">
        <v>11</v>
      </c>
      <c r="F52" s="5" t="s">
        <v>214</v>
      </c>
      <c r="G52" s="5" t="str">
        <f t="shared" si="12"/>
        <v>0x3020</v>
      </c>
      <c r="H52" s="7">
        <f t="shared" ref="H52:H76" si="16">H51+1</f>
        <v>12320</v>
      </c>
      <c r="I52" s="6" t="str">
        <f t="shared" si="15"/>
        <v>012321</v>
      </c>
      <c r="J52" s="5" t="s">
        <v>257</v>
      </c>
      <c r="K52" s="5" t="s">
        <v>12</v>
      </c>
      <c r="L52" s="5" t="s">
        <v>12</v>
      </c>
      <c r="M52" s="5" t="s">
        <v>12</v>
      </c>
      <c r="N52" s="7" t="s">
        <v>12</v>
      </c>
      <c r="O52" s="7" t="s">
        <v>13</v>
      </c>
      <c r="P52" t="str">
        <f t="shared" ref="P52:P67" si="17">_xlfn.CONCAT("axALM[",X2,"]")</f>
        <v>axALM[2]</v>
      </c>
      <c r="Q52" t="s">
        <v>145</v>
      </c>
      <c r="R52" s="5" t="s">
        <v>12</v>
      </c>
      <c r="X52">
        <f t="shared" si="2"/>
        <v>52</v>
      </c>
    </row>
    <row r="53" spans="1:24" ht="14.25" customHeight="1" x14ac:dyDescent="0.3">
      <c r="A53" s="5" t="s">
        <v>89</v>
      </c>
      <c r="B53" s="7" t="s">
        <v>94</v>
      </c>
      <c r="C53" s="7" t="s">
        <v>95</v>
      </c>
      <c r="D53" s="6" t="s">
        <v>310</v>
      </c>
      <c r="E53" s="7" t="s">
        <v>11</v>
      </c>
      <c r="F53" s="5" t="s">
        <v>214</v>
      </c>
      <c r="G53" s="5" t="str">
        <f t="shared" si="12"/>
        <v>0x3021</v>
      </c>
      <c r="H53" s="7">
        <f t="shared" si="16"/>
        <v>12321</v>
      </c>
      <c r="I53" s="6" t="str">
        <f t="shared" si="15"/>
        <v>012322</v>
      </c>
      <c r="J53" s="5" t="s">
        <v>258</v>
      </c>
      <c r="K53" s="5" t="s">
        <v>12</v>
      </c>
      <c r="L53" s="5" t="s">
        <v>12</v>
      </c>
      <c r="M53" s="5" t="s">
        <v>12</v>
      </c>
      <c r="N53" s="7" t="s">
        <v>12</v>
      </c>
      <c r="O53" s="7" t="s">
        <v>13</v>
      </c>
      <c r="P53" t="str">
        <f t="shared" si="17"/>
        <v>axALM[3]</v>
      </c>
      <c r="Q53" t="s">
        <v>145</v>
      </c>
      <c r="R53" s="5" t="s">
        <v>12</v>
      </c>
      <c r="X53">
        <f t="shared" si="2"/>
        <v>53</v>
      </c>
    </row>
    <row r="54" spans="1:24" ht="14.25" customHeight="1" x14ac:dyDescent="0.3">
      <c r="A54" s="5" t="s">
        <v>89</v>
      </c>
      <c r="B54" s="7" t="s">
        <v>96</v>
      </c>
      <c r="C54" s="7" t="s">
        <v>97</v>
      </c>
      <c r="D54" s="6" t="s">
        <v>310</v>
      </c>
      <c r="E54" s="7" t="s">
        <v>11</v>
      </c>
      <c r="F54" s="5" t="s">
        <v>214</v>
      </c>
      <c r="G54" s="5" t="str">
        <f t="shared" si="12"/>
        <v>0x3022</v>
      </c>
      <c r="H54" s="7">
        <f t="shared" si="16"/>
        <v>12322</v>
      </c>
      <c r="I54" s="6" t="str">
        <f t="shared" si="15"/>
        <v>012323</v>
      </c>
      <c r="J54" s="5" t="s">
        <v>259</v>
      </c>
      <c r="K54" s="5" t="s">
        <v>12</v>
      </c>
      <c r="L54" s="5" t="s">
        <v>12</v>
      </c>
      <c r="M54" s="5" t="s">
        <v>12</v>
      </c>
      <c r="N54" s="7" t="s">
        <v>12</v>
      </c>
      <c r="O54" s="7" t="s">
        <v>13</v>
      </c>
      <c r="P54" t="str">
        <f t="shared" si="17"/>
        <v>axALM[4]</v>
      </c>
      <c r="Q54" t="s">
        <v>145</v>
      </c>
      <c r="R54" s="5" t="s">
        <v>12</v>
      </c>
      <c r="X54">
        <f t="shared" si="2"/>
        <v>54</v>
      </c>
    </row>
    <row r="55" spans="1:24" ht="14.25" customHeight="1" x14ac:dyDescent="0.3">
      <c r="A55" s="5" t="s">
        <v>89</v>
      </c>
      <c r="B55" s="7" t="s">
        <v>98</v>
      </c>
      <c r="C55" s="7" t="s">
        <v>99</v>
      </c>
      <c r="D55" s="6" t="s">
        <v>310</v>
      </c>
      <c r="E55" s="7" t="s">
        <v>11</v>
      </c>
      <c r="F55" s="5" t="s">
        <v>214</v>
      </c>
      <c r="G55" s="5" t="str">
        <f t="shared" si="12"/>
        <v>0x3023</v>
      </c>
      <c r="H55" s="7">
        <f t="shared" si="16"/>
        <v>12323</v>
      </c>
      <c r="I55" s="6" t="str">
        <f t="shared" si="15"/>
        <v>012324</v>
      </c>
      <c r="J55" s="5" t="s">
        <v>260</v>
      </c>
      <c r="K55" s="5" t="s">
        <v>12</v>
      </c>
      <c r="L55" s="5" t="s">
        <v>12</v>
      </c>
      <c r="M55" s="5" t="s">
        <v>12</v>
      </c>
      <c r="N55" s="7" t="s">
        <v>12</v>
      </c>
      <c r="O55" s="7" t="s">
        <v>13</v>
      </c>
      <c r="P55" t="str">
        <f t="shared" si="17"/>
        <v>axALM[5]</v>
      </c>
      <c r="Q55" t="s">
        <v>145</v>
      </c>
      <c r="R55" s="5" t="s">
        <v>12</v>
      </c>
      <c r="X55">
        <f t="shared" si="2"/>
        <v>55</v>
      </c>
    </row>
    <row r="56" spans="1:24" ht="14.25" customHeight="1" x14ac:dyDescent="0.3">
      <c r="A56" s="5" t="s">
        <v>89</v>
      </c>
      <c r="B56" s="7" t="s">
        <v>100</v>
      </c>
      <c r="C56" s="7" t="s">
        <v>101</v>
      </c>
      <c r="D56" s="6" t="s">
        <v>310</v>
      </c>
      <c r="E56" s="7" t="s">
        <v>11</v>
      </c>
      <c r="F56" s="5" t="s">
        <v>214</v>
      </c>
      <c r="G56" s="5" t="str">
        <f t="shared" si="12"/>
        <v>0x3024</v>
      </c>
      <c r="H56" s="7">
        <f t="shared" si="16"/>
        <v>12324</v>
      </c>
      <c r="I56" s="6" t="str">
        <f t="shared" si="15"/>
        <v>012325</v>
      </c>
      <c r="J56" s="5" t="s">
        <v>224</v>
      </c>
      <c r="K56" s="5" t="s">
        <v>12</v>
      </c>
      <c r="L56" s="5" t="s">
        <v>12</v>
      </c>
      <c r="M56" s="5" t="s">
        <v>12</v>
      </c>
      <c r="N56" s="7" t="s">
        <v>12</v>
      </c>
      <c r="O56" s="7" t="s">
        <v>13</v>
      </c>
      <c r="P56" t="str">
        <f t="shared" si="17"/>
        <v>axALM[6]</v>
      </c>
      <c r="Q56" t="s">
        <v>145</v>
      </c>
      <c r="R56" s="5" t="s">
        <v>12</v>
      </c>
      <c r="X56">
        <f t="shared" si="2"/>
        <v>56</v>
      </c>
    </row>
    <row r="57" spans="1:24" ht="14.25" customHeight="1" x14ac:dyDescent="0.3">
      <c r="A57" s="5" t="s">
        <v>89</v>
      </c>
      <c r="B57" s="7" t="s">
        <v>102</v>
      </c>
      <c r="C57" s="7" t="s">
        <v>103</v>
      </c>
      <c r="D57" s="6" t="s">
        <v>310</v>
      </c>
      <c r="E57" s="7" t="s">
        <v>11</v>
      </c>
      <c r="F57" s="5" t="s">
        <v>214</v>
      </c>
      <c r="G57" s="5" t="str">
        <f t="shared" si="12"/>
        <v>0x3025</v>
      </c>
      <c r="H57" s="7">
        <f t="shared" si="16"/>
        <v>12325</v>
      </c>
      <c r="I57" s="6" t="str">
        <f t="shared" si="15"/>
        <v>012326</v>
      </c>
      <c r="J57" s="5" t="s">
        <v>261</v>
      </c>
      <c r="K57" s="5" t="s">
        <v>12</v>
      </c>
      <c r="L57" s="5" t="s">
        <v>12</v>
      </c>
      <c r="M57" s="5" t="s">
        <v>12</v>
      </c>
      <c r="N57" s="7" t="s">
        <v>12</v>
      </c>
      <c r="O57" s="7" t="s">
        <v>13</v>
      </c>
      <c r="P57" t="str">
        <f t="shared" si="17"/>
        <v>axALM[7]</v>
      </c>
      <c r="Q57" t="s">
        <v>145</v>
      </c>
      <c r="R57" s="5" t="s">
        <v>12</v>
      </c>
      <c r="X57">
        <f t="shared" si="2"/>
        <v>57</v>
      </c>
    </row>
    <row r="58" spans="1:24" ht="14.25" customHeight="1" x14ac:dyDescent="0.3">
      <c r="A58" s="5" t="s">
        <v>89</v>
      </c>
      <c r="B58" s="7" t="s">
        <v>104</v>
      </c>
      <c r="C58" s="7" t="s">
        <v>105</v>
      </c>
      <c r="D58" s="6" t="s">
        <v>310</v>
      </c>
      <c r="E58" s="7" t="s">
        <v>11</v>
      </c>
      <c r="F58" s="5" t="s">
        <v>214</v>
      </c>
      <c r="G58" s="5" t="str">
        <f t="shared" si="12"/>
        <v>0x3026</v>
      </c>
      <c r="H58" s="7">
        <f t="shared" si="16"/>
        <v>12326</v>
      </c>
      <c r="I58" s="6" t="str">
        <f t="shared" si="15"/>
        <v>012327</v>
      </c>
      <c r="J58" s="5" t="s">
        <v>262</v>
      </c>
      <c r="K58" s="5" t="s">
        <v>12</v>
      </c>
      <c r="L58" s="5" t="s">
        <v>12</v>
      </c>
      <c r="M58" s="5" t="s">
        <v>12</v>
      </c>
      <c r="N58" s="7" t="s">
        <v>12</v>
      </c>
      <c r="O58" s="7" t="s">
        <v>13</v>
      </c>
      <c r="P58" t="str">
        <f t="shared" si="17"/>
        <v>axALM[8]</v>
      </c>
      <c r="Q58" t="s">
        <v>145</v>
      </c>
      <c r="R58" s="5" t="s">
        <v>12</v>
      </c>
      <c r="X58">
        <f t="shared" si="2"/>
        <v>58</v>
      </c>
    </row>
    <row r="59" spans="1:24" ht="14.25" customHeight="1" x14ac:dyDescent="0.3">
      <c r="A59" s="5" t="s">
        <v>89</v>
      </c>
      <c r="B59" s="7" t="s">
        <v>106</v>
      </c>
      <c r="C59" s="7" t="s">
        <v>107</v>
      </c>
      <c r="D59" s="6" t="s">
        <v>310</v>
      </c>
      <c r="E59" s="7" t="s">
        <v>11</v>
      </c>
      <c r="F59" s="5" t="s">
        <v>214</v>
      </c>
      <c r="G59" s="5" t="str">
        <f t="shared" si="12"/>
        <v>0x3027</v>
      </c>
      <c r="H59" s="7">
        <f t="shared" si="16"/>
        <v>12327</v>
      </c>
      <c r="I59" s="6" t="str">
        <f t="shared" si="15"/>
        <v>012328</v>
      </c>
      <c r="J59" s="5" t="s">
        <v>263</v>
      </c>
      <c r="K59" s="5" t="s">
        <v>12</v>
      </c>
      <c r="L59" s="5" t="s">
        <v>12</v>
      </c>
      <c r="M59" s="5" t="s">
        <v>12</v>
      </c>
      <c r="N59" s="7" t="s">
        <v>12</v>
      </c>
      <c r="O59" s="7" t="s">
        <v>13</v>
      </c>
      <c r="P59" t="str">
        <f t="shared" si="17"/>
        <v>axALM[9]</v>
      </c>
      <c r="Q59" t="s">
        <v>145</v>
      </c>
      <c r="R59" s="5" t="s">
        <v>12</v>
      </c>
      <c r="X59">
        <f t="shared" si="2"/>
        <v>59</v>
      </c>
    </row>
    <row r="60" spans="1:24" ht="14.25" customHeight="1" x14ac:dyDescent="0.3">
      <c r="A60" s="5" t="s">
        <v>89</v>
      </c>
      <c r="B60" s="7" t="s">
        <v>108</v>
      </c>
      <c r="C60" s="7" t="s">
        <v>109</v>
      </c>
      <c r="D60" s="6" t="s">
        <v>310</v>
      </c>
      <c r="E60" s="7" t="s">
        <v>11</v>
      </c>
      <c r="F60" s="5" t="s">
        <v>214</v>
      </c>
      <c r="G60" s="5" t="str">
        <f t="shared" si="12"/>
        <v>0x3028</v>
      </c>
      <c r="H60" s="7">
        <f t="shared" si="16"/>
        <v>12328</v>
      </c>
      <c r="I60" s="6" t="str">
        <f t="shared" si="15"/>
        <v>012329</v>
      </c>
      <c r="J60" s="5" t="s">
        <v>264</v>
      </c>
      <c r="K60" s="5" t="s">
        <v>12</v>
      </c>
      <c r="L60" s="5" t="s">
        <v>12</v>
      </c>
      <c r="M60" s="5" t="s">
        <v>12</v>
      </c>
      <c r="N60" s="7" t="s">
        <v>12</v>
      </c>
      <c r="O60" s="7" t="s">
        <v>13</v>
      </c>
      <c r="P60" t="str">
        <f t="shared" si="17"/>
        <v>axALM[10]</v>
      </c>
      <c r="Q60" t="s">
        <v>145</v>
      </c>
      <c r="R60" s="5" t="s">
        <v>12</v>
      </c>
      <c r="X60">
        <f t="shared" si="2"/>
        <v>60</v>
      </c>
    </row>
    <row r="61" spans="1:24" ht="14.25" customHeight="1" x14ac:dyDescent="0.3">
      <c r="A61" s="5" t="s">
        <v>89</v>
      </c>
      <c r="B61" s="7" t="s">
        <v>110</v>
      </c>
      <c r="C61" s="7" t="s">
        <v>111</v>
      </c>
      <c r="D61" s="6" t="s">
        <v>310</v>
      </c>
      <c r="E61" s="7" t="s">
        <v>11</v>
      </c>
      <c r="F61" s="5" t="s">
        <v>214</v>
      </c>
      <c r="G61" s="5" t="str">
        <f t="shared" si="12"/>
        <v>0x3029</v>
      </c>
      <c r="H61" s="7">
        <f t="shared" si="16"/>
        <v>12329</v>
      </c>
      <c r="I61" s="6" t="str">
        <f t="shared" si="15"/>
        <v>012330</v>
      </c>
      <c r="J61" s="5" t="s">
        <v>265</v>
      </c>
      <c r="K61" s="5" t="s">
        <v>12</v>
      </c>
      <c r="L61" s="5" t="s">
        <v>12</v>
      </c>
      <c r="M61" s="5" t="s">
        <v>12</v>
      </c>
      <c r="N61" s="7" t="s">
        <v>12</v>
      </c>
      <c r="O61" s="7" t="s">
        <v>13</v>
      </c>
      <c r="P61" t="str">
        <f t="shared" si="17"/>
        <v>axALM[11]</v>
      </c>
      <c r="Q61" t="s">
        <v>145</v>
      </c>
      <c r="R61" s="5" t="s">
        <v>12</v>
      </c>
      <c r="X61">
        <f t="shared" si="2"/>
        <v>61</v>
      </c>
    </row>
    <row r="62" spans="1:24" ht="14.25" customHeight="1" x14ac:dyDescent="0.3">
      <c r="A62" s="5" t="s">
        <v>89</v>
      </c>
      <c r="B62" s="7" t="s">
        <v>112</v>
      </c>
      <c r="C62" s="7" t="s">
        <v>113</v>
      </c>
      <c r="D62" s="6" t="s">
        <v>310</v>
      </c>
      <c r="E62" s="7" t="s">
        <v>11</v>
      </c>
      <c r="F62" s="5" t="s">
        <v>214</v>
      </c>
      <c r="G62" s="5" t="str">
        <f t="shared" si="12"/>
        <v>0x302A</v>
      </c>
      <c r="H62" s="7">
        <f t="shared" si="16"/>
        <v>12330</v>
      </c>
      <c r="I62" s="6" t="str">
        <f t="shared" si="15"/>
        <v>012331</v>
      </c>
      <c r="J62" s="5" t="s">
        <v>266</v>
      </c>
      <c r="K62" s="5" t="s">
        <v>12</v>
      </c>
      <c r="L62" s="5" t="s">
        <v>12</v>
      </c>
      <c r="M62" s="5" t="s">
        <v>12</v>
      </c>
      <c r="N62" s="7" t="s">
        <v>12</v>
      </c>
      <c r="O62" s="7" t="s">
        <v>13</v>
      </c>
      <c r="P62" t="str">
        <f t="shared" si="17"/>
        <v>axALM[12]</v>
      </c>
      <c r="Q62" t="s">
        <v>145</v>
      </c>
      <c r="R62" s="5" t="s">
        <v>12</v>
      </c>
      <c r="X62">
        <f t="shared" si="2"/>
        <v>62</v>
      </c>
    </row>
    <row r="63" spans="1:24" ht="14.25" customHeight="1" x14ac:dyDescent="0.3">
      <c r="A63" s="5" t="s">
        <v>89</v>
      </c>
      <c r="B63" s="7" t="s">
        <v>114</v>
      </c>
      <c r="C63" s="7" t="s">
        <v>115</v>
      </c>
      <c r="D63" s="6" t="s">
        <v>310</v>
      </c>
      <c r="E63" s="7" t="s">
        <v>11</v>
      </c>
      <c r="F63" s="5" t="s">
        <v>214</v>
      </c>
      <c r="G63" s="5" t="str">
        <f t="shared" si="12"/>
        <v>0x302B</v>
      </c>
      <c r="H63" s="7">
        <f t="shared" si="16"/>
        <v>12331</v>
      </c>
      <c r="I63" s="6" t="str">
        <f t="shared" si="15"/>
        <v>012332</v>
      </c>
      <c r="J63" s="5" t="s">
        <v>267</v>
      </c>
      <c r="K63" s="5" t="s">
        <v>12</v>
      </c>
      <c r="L63" s="5" t="s">
        <v>12</v>
      </c>
      <c r="M63" s="5" t="s">
        <v>12</v>
      </c>
      <c r="N63" s="7" t="s">
        <v>12</v>
      </c>
      <c r="O63" s="7" t="s">
        <v>13</v>
      </c>
      <c r="P63" t="str">
        <f t="shared" si="17"/>
        <v>axALM[13]</v>
      </c>
      <c r="Q63" t="s">
        <v>145</v>
      </c>
      <c r="R63" s="5" t="s">
        <v>12</v>
      </c>
      <c r="X63">
        <f t="shared" si="2"/>
        <v>63</v>
      </c>
    </row>
    <row r="64" spans="1:24" ht="14.25" customHeight="1" x14ac:dyDescent="0.3">
      <c r="A64" s="5" t="s">
        <v>89</v>
      </c>
      <c r="B64" s="7" t="s">
        <v>116</v>
      </c>
      <c r="C64" s="7" t="s">
        <v>117</v>
      </c>
      <c r="D64" s="6" t="s">
        <v>310</v>
      </c>
      <c r="E64" s="7" t="s">
        <v>11</v>
      </c>
      <c r="F64" s="5" t="s">
        <v>214</v>
      </c>
      <c r="G64" s="5" t="str">
        <f t="shared" si="12"/>
        <v>0x302C</v>
      </c>
      <c r="H64" s="7">
        <f t="shared" si="16"/>
        <v>12332</v>
      </c>
      <c r="I64" s="6" t="str">
        <f t="shared" si="15"/>
        <v>012333</v>
      </c>
      <c r="J64" s="5" t="s">
        <v>268</v>
      </c>
      <c r="K64" s="5" t="s">
        <v>12</v>
      </c>
      <c r="L64" s="5" t="s">
        <v>12</v>
      </c>
      <c r="M64" s="5" t="s">
        <v>12</v>
      </c>
      <c r="N64" s="7" t="s">
        <v>12</v>
      </c>
      <c r="O64" s="7" t="s">
        <v>13</v>
      </c>
      <c r="P64" t="str">
        <f t="shared" si="17"/>
        <v>axALM[14]</v>
      </c>
      <c r="Q64" t="s">
        <v>145</v>
      </c>
      <c r="R64" s="5" t="s">
        <v>12</v>
      </c>
      <c r="X64">
        <f t="shared" si="2"/>
        <v>64</v>
      </c>
    </row>
    <row r="65" spans="1:24" ht="14.25" customHeight="1" x14ac:dyDescent="0.3">
      <c r="A65" s="5" t="s">
        <v>89</v>
      </c>
      <c r="B65" s="7" t="s">
        <v>118</v>
      </c>
      <c r="C65" s="7" t="s">
        <v>119</v>
      </c>
      <c r="D65" s="6" t="s">
        <v>310</v>
      </c>
      <c r="E65" s="7" t="s">
        <v>11</v>
      </c>
      <c r="F65" s="5" t="s">
        <v>214</v>
      </c>
      <c r="G65" s="5" t="str">
        <f t="shared" si="12"/>
        <v>0x302D</v>
      </c>
      <c r="H65" s="7">
        <f t="shared" si="16"/>
        <v>12333</v>
      </c>
      <c r="I65" s="6" t="str">
        <f t="shared" si="15"/>
        <v>012334</v>
      </c>
      <c r="J65" s="5" t="s">
        <v>269</v>
      </c>
      <c r="K65" s="5" t="s">
        <v>12</v>
      </c>
      <c r="L65" s="5" t="s">
        <v>12</v>
      </c>
      <c r="M65" s="5" t="s">
        <v>12</v>
      </c>
      <c r="N65" s="7" t="s">
        <v>12</v>
      </c>
      <c r="O65" s="7" t="s">
        <v>13</v>
      </c>
      <c r="P65" t="str">
        <f t="shared" si="17"/>
        <v>axALM[15]</v>
      </c>
      <c r="Q65" t="s">
        <v>145</v>
      </c>
      <c r="R65" s="5" t="s">
        <v>12</v>
      </c>
      <c r="X65">
        <f t="shared" si="2"/>
        <v>65</v>
      </c>
    </row>
    <row r="66" spans="1:24" ht="14.25" customHeight="1" x14ac:dyDescent="0.3">
      <c r="A66" s="5" t="s">
        <v>89</v>
      </c>
      <c r="B66" s="7" t="s">
        <v>120</v>
      </c>
      <c r="C66" s="7" t="s">
        <v>121</v>
      </c>
      <c r="D66" s="6" t="s">
        <v>310</v>
      </c>
      <c r="E66" s="7" t="s">
        <v>11</v>
      </c>
      <c r="F66" s="5" t="s">
        <v>214</v>
      </c>
      <c r="G66" s="5" t="str">
        <f t="shared" si="12"/>
        <v>0x302E</v>
      </c>
      <c r="H66" s="7">
        <f t="shared" si="16"/>
        <v>12334</v>
      </c>
      <c r="I66" s="6" t="str">
        <f t="shared" si="15"/>
        <v>012335</v>
      </c>
      <c r="J66" s="5" t="s">
        <v>270</v>
      </c>
      <c r="K66" s="5" t="s">
        <v>12</v>
      </c>
      <c r="L66" s="5" t="s">
        <v>12</v>
      </c>
      <c r="M66" s="5" t="s">
        <v>12</v>
      </c>
      <c r="N66" s="7" t="s">
        <v>12</v>
      </c>
      <c r="O66" s="7" t="s">
        <v>13</v>
      </c>
      <c r="P66" t="str">
        <f t="shared" si="17"/>
        <v>axALM[16]</v>
      </c>
      <c r="Q66" t="s">
        <v>145</v>
      </c>
      <c r="R66" s="5" t="s">
        <v>12</v>
      </c>
      <c r="X66">
        <f t="shared" si="2"/>
        <v>66</v>
      </c>
    </row>
    <row r="67" spans="1:24" ht="14.25" customHeight="1" x14ac:dyDescent="0.3">
      <c r="A67" s="5" t="s">
        <v>89</v>
      </c>
      <c r="B67" s="7" t="s">
        <v>122</v>
      </c>
      <c r="C67" s="7" t="s">
        <v>123</v>
      </c>
      <c r="D67" s="6" t="s">
        <v>310</v>
      </c>
      <c r="E67" s="7" t="s">
        <v>11</v>
      </c>
      <c r="F67" s="5" t="s">
        <v>214</v>
      </c>
      <c r="G67" s="5" t="str">
        <f t="shared" ref="G67:G98" si="18">_xlfn.CONCAT("0x",DEC2HEX(H67))</f>
        <v>0x302F</v>
      </c>
      <c r="H67" s="7">
        <f t="shared" si="16"/>
        <v>12335</v>
      </c>
      <c r="I67" s="6" t="str">
        <f t="shared" si="15"/>
        <v>012336</v>
      </c>
      <c r="J67" s="5" t="s">
        <v>271</v>
      </c>
      <c r="K67" s="5" t="s">
        <v>12</v>
      </c>
      <c r="L67" s="5" t="s">
        <v>12</v>
      </c>
      <c r="M67" s="5" t="s">
        <v>12</v>
      </c>
      <c r="N67" s="7" t="s">
        <v>12</v>
      </c>
      <c r="O67" s="7" t="s">
        <v>13</v>
      </c>
      <c r="P67" t="str">
        <f t="shared" si="17"/>
        <v>axALM[17]</v>
      </c>
      <c r="Q67" t="s">
        <v>145</v>
      </c>
      <c r="R67" s="5" t="s">
        <v>12</v>
      </c>
      <c r="X67">
        <f t="shared" ref="X67:X98" si="19">X66+1</f>
        <v>67</v>
      </c>
    </row>
    <row r="68" spans="1:24" ht="14.25" customHeight="1" x14ac:dyDescent="0.3">
      <c r="A68" s="5" t="s">
        <v>124</v>
      </c>
      <c r="B68" s="7" t="s">
        <v>125</v>
      </c>
      <c r="C68" s="7" t="s">
        <v>126</v>
      </c>
      <c r="D68" s="6" t="s">
        <v>310</v>
      </c>
      <c r="E68" s="7" t="s">
        <v>11</v>
      </c>
      <c r="F68" s="5" t="s">
        <v>214</v>
      </c>
      <c r="G68" s="5" t="str">
        <f t="shared" si="18"/>
        <v>0x3030</v>
      </c>
      <c r="H68" s="7">
        <f t="shared" si="16"/>
        <v>12336</v>
      </c>
      <c r="I68" s="6" t="str">
        <f t="shared" si="15"/>
        <v>012337</v>
      </c>
      <c r="J68" s="5" t="s">
        <v>272</v>
      </c>
      <c r="K68" s="5" t="s">
        <v>12</v>
      </c>
      <c r="L68" s="5" t="s">
        <v>12</v>
      </c>
      <c r="M68" s="5" t="s">
        <v>12</v>
      </c>
      <c r="N68" s="7" t="s">
        <v>12</v>
      </c>
      <c r="O68" s="7" t="s">
        <v>13</v>
      </c>
      <c r="P68" s="5" t="str">
        <f>_xlfn.CONCAT("axFLT[",X1,"]")</f>
        <v>axFLT[1]</v>
      </c>
      <c r="Q68" t="s">
        <v>145</v>
      </c>
      <c r="R68" s="5" t="s">
        <v>12</v>
      </c>
      <c r="X68">
        <f t="shared" si="19"/>
        <v>68</v>
      </c>
    </row>
    <row r="69" spans="1:24" ht="14.25" customHeight="1" x14ac:dyDescent="0.3">
      <c r="A69" s="5" t="s">
        <v>124</v>
      </c>
      <c r="B69" s="7" t="s">
        <v>127</v>
      </c>
      <c r="C69" s="7" t="s">
        <v>128</v>
      </c>
      <c r="D69" s="6" t="s">
        <v>310</v>
      </c>
      <c r="E69" s="7" t="s">
        <v>11</v>
      </c>
      <c r="F69" s="5" t="s">
        <v>214</v>
      </c>
      <c r="G69" s="5" t="str">
        <f t="shared" si="18"/>
        <v>0x3031</v>
      </c>
      <c r="H69" s="7">
        <f t="shared" si="16"/>
        <v>12337</v>
      </c>
      <c r="I69" s="6" t="str">
        <f t="shared" si="15"/>
        <v>012338</v>
      </c>
      <c r="J69" s="5" t="s">
        <v>273</v>
      </c>
      <c r="K69" s="5" t="s">
        <v>12</v>
      </c>
      <c r="L69" s="5" t="s">
        <v>12</v>
      </c>
      <c r="M69" s="5" t="s">
        <v>12</v>
      </c>
      <c r="N69" s="7" t="s">
        <v>12</v>
      </c>
      <c r="O69" s="7" t="s">
        <v>13</v>
      </c>
      <c r="P69" s="5" t="str">
        <f t="shared" ref="P69:P76" si="20">_xlfn.CONCAT("axFLT[",X2,"]")</f>
        <v>axFLT[2]</v>
      </c>
      <c r="Q69" t="s">
        <v>145</v>
      </c>
      <c r="R69" s="5" t="s">
        <v>12</v>
      </c>
      <c r="X69">
        <f t="shared" si="19"/>
        <v>69</v>
      </c>
    </row>
    <row r="70" spans="1:24" ht="14.25" customHeight="1" x14ac:dyDescent="0.3">
      <c r="A70" s="5" t="s">
        <v>124</v>
      </c>
      <c r="B70" s="7" t="s">
        <v>129</v>
      </c>
      <c r="C70" s="7" t="s">
        <v>130</v>
      </c>
      <c r="D70" s="6" t="s">
        <v>310</v>
      </c>
      <c r="E70" s="7" t="s">
        <v>11</v>
      </c>
      <c r="F70" s="5" t="s">
        <v>214</v>
      </c>
      <c r="G70" s="5" t="str">
        <f t="shared" si="18"/>
        <v>0x3032</v>
      </c>
      <c r="H70" s="7">
        <f t="shared" si="16"/>
        <v>12338</v>
      </c>
      <c r="I70" s="6" t="str">
        <f t="shared" si="15"/>
        <v>012339</v>
      </c>
      <c r="J70" s="5" t="s">
        <v>274</v>
      </c>
      <c r="K70" s="5" t="s">
        <v>12</v>
      </c>
      <c r="L70" s="5" t="s">
        <v>12</v>
      </c>
      <c r="M70" s="5" t="s">
        <v>12</v>
      </c>
      <c r="N70" s="7" t="s">
        <v>12</v>
      </c>
      <c r="O70" s="7" t="s">
        <v>13</v>
      </c>
      <c r="P70" s="5" t="str">
        <f t="shared" si="20"/>
        <v>axFLT[3]</v>
      </c>
      <c r="Q70" t="s">
        <v>145</v>
      </c>
      <c r="R70" s="5" t="s">
        <v>12</v>
      </c>
      <c r="X70">
        <f t="shared" si="19"/>
        <v>70</v>
      </c>
    </row>
    <row r="71" spans="1:24" ht="14.25" customHeight="1" x14ac:dyDescent="0.3">
      <c r="A71" s="5" t="s">
        <v>124</v>
      </c>
      <c r="B71" s="7" t="s">
        <v>131</v>
      </c>
      <c r="C71" s="7" t="s">
        <v>132</v>
      </c>
      <c r="D71" s="6" t="s">
        <v>310</v>
      </c>
      <c r="E71" s="7" t="s">
        <v>11</v>
      </c>
      <c r="F71" s="5" t="s">
        <v>214</v>
      </c>
      <c r="G71" s="5" t="str">
        <f t="shared" si="18"/>
        <v>0x3033</v>
      </c>
      <c r="H71" s="7">
        <f t="shared" si="16"/>
        <v>12339</v>
      </c>
      <c r="I71" s="6" t="str">
        <f t="shared" si="15"/>
        <v>012340</v>
      </c>
      <c r="J71" s="5" t="s">
        <v>275</v>
      </c>
      <c r="K71" s="5" t="s">
        <v>12</v>
      </c>
      <c r="L71" s="5" t="s">
        <v>12</v>
      </c>
      <c r="M71" s="5" t="s">
        <v>12</v>
      </c>
      <c r="N71" s="7" t="s">
        <v>12</v>
      </c>
      <c r="O71" s="7" t="s">
        <v>13</v>
      </c>
      <c r="P71" s="5" t="str">
        <f t="shared" si="20"/>
        <v>axFLT[4]</v>
      </c>
      <c r="Q71" t="s">
        <v>145</v>
      </c>
      <c r="R71" s="5" t="s">
        <v>12</v>
      </c>
      <c r="X71">
        <f t="shared" si="19"/>
        <v>71</v>
      </c>
    </row>
    <row r="72" spans="1:24" ht="14.25" customHeight="1" x14ac:dyDescent="0.3">
      <c r="A72" s="5" t="s">
        <v>124</v>
      </c>
      <c r="B72" s="7" t="s">
        <v>133</v>
      </c>
      <c r="C72" s="7" t="s">
        <v>134</v>
      </c>
      <c r="D72" s="6" t="s">
        <v>310</v>
      </c>
      <c r="E72" s="7" t="s">
        <v>11</v>
      </c>
      <c r="F72" s="5" t="s">
        <v>214</v>
      </c>
      <c r="G72" s="5" t="str">
        <f t="shared" si="18"/>
        <v>0x3034</v>
      </c>
      <c r="H72" s="7">
        <f t="shared" si="16"/>
        <v>12340</v>
      </c>
      <c r="I72" s="6" t="str">
        <f t="shared" si="15"/>
        <v>012341</v>
      </c>
      <c r="J72" s="5" t="s">
        <v>276</v>
      </c>
      <c r="K72" s="5" t="s">
        <v>12</v>
      </c>
      <c r="L72" s="5" t="s">
        <v>12</v>
      </c>
      <c r="M72" s="5" t="s">
        <v>12</v>
      </c>
      <c r="N72" s="7" t="s">
        <v>12</v>
      </c>
      <c r="O72" s="7" t="s">
        <v>13</v>
      </c>
      <c r="P72" s="5" t="str">
        <f t="shared" si="20"/>
        <v>axFLT[5]</v>
      </c>
      <c r="Q72" t="s">
        <v>145</v>
      </c>
      <c r="R72" s="5" t="s">
        <v>12</v>
      </c>
      <c r="X72">
        <f t="shared" si="19"/>
        <v>72</v>
      </c>
    </row>
    <row r="73" spans="1:24" ht="14.25" customHeight="1" x14ac:dyDescent="0.3">
      <c r="A73" s="5" t="s">
        <v>124</v>
      </c>
      <c r="B73" s="7" t="s">
        <v>135</v>
      </c>
      <c r="C73" s="7" t="s">
        <v>136</v>
      </c>
      <c r="D73" s="6" t="s">
        <v>310</v>
      </c>
      <c r="E73" s="7" t="s">
        <v>11</v>
      </c>
      <c r="F73" s="5" t="s">
        <v>214</v>
      </c>
      <c r="G73" s="5" t="str">
        <f t="shared" si="18"/>
        <v>0x3035</v>
      </c>
      <c r="H73" s="7">
        <f t="shared" si="16"/>
        <v>12341</v>
      </c>
      <c r="I73" s="6" t="str">
        <f t="shared" si="15"/>
        <v>012342</v>
      </c>
      <c r="J73" s="5" t="s">
        <v>277</v>
      </c>
      <c r="K73" s="5" t="s">
        <v>12</v>
      </c>
      <c r="L73" s="5" t="s">
        <v>12</v>
      </c>
      <c r="M73" s="5" t="s">
        <v>12</v>
      </c>
      <c r="N73" s="7" t="s">
        <v>12</v>
      </c>
      <c r="O73" s="7" t="s">
        <v>13</v>
      </c>
      <c r="P73" s="5" t="str">
        <f t="shared" si="20"/>
        <v>axFLT[6]</v>
      </c>
      <c r="Q73" t="s">
        <v>145</v>
      </c>
      <c r="R73" s="5" t="s">
        <v>12</v>
      </c>
      <c r="X73">
        <f t="shared" si="19"/>
        <v>73</v>
      </c>
    </row>
    <row r="74" spans="1:24" ht="14.25" customHeight="1" x14ac:dyDescent="0.3">
      <c r="A74" s="5" t="s">
        <v>124</v>
      </c>
      <c r="B74" s="7" t="s">
        <v>137</v>
      </c>
      <c r="C74" s="7" t="s">
        <v>138</v>
      </c>
      <c r="D74" s="6" t="s">
        <v>310</v>
      </c>
      <c r="E74" s="7" t="s">
        <v>11</v>
      </c>
      <c r="F74" s="5" t="s">
        <v>214</v>
      </c>
      <c r="G74" s="5" t="str">
        <f t="shared" si="18"/>
        <v>0x3036</v>
      </c>
      <c r="H74" s="7">
        <f t="shared" si="16"/>
        <v>12342</v>
      </c>
      <c r="I74" s="6" t="str">
        <f t="shared" si="15"/>
        <v>012343</v>
      </c>
      <c r="J74" s="5" t="s">
        <v>278</v>
      </c>
      <c r="K74" s="5" t="s">
        <v>12</v>
      </c>
      <c r="L74" s="5" t="s">
        <v>12</v>
      </c>
      <c r="M74" s="5" t="s">
        <v>12</v>
      </c>
      <c r="N74" s="7" t="s">
        <v>12</v>
      </c>
      <c r="O74" s="7" t="s">
        <v>13</v>
      </c>
      <c r="P74" s="5" t="str">
        <f t="shared" si="20"/>
        <v>axFLT[7]</v>
      </c>
      <c r="Q74" t="s">
        <v>145</v>
      </c>
      <c r="R74" s="5" t="s">
        <v>12</v>
      </c>
      <c r="X74">
        <f t="shared" si="19"/>
        <v>74</v>
      </c>
    </row>
    <row r="75" spans="1:24" ht="14.25" customHeight="1" x14ac:dyDescent="0.3">
      <c r="A75" s="5" t="s">
        <v>124</v>
      </c>
      <c r="B75" s="7" t="s">
        <v>139</v>
      </c>
      <c r="C75" s="7" t="s">
        <v>140</v>
      </c>
      <c r="D75" s="6" t="s">
        <v>310</v>
      </c>
      <c r="E75" s="7" t="s">
        <v>11</v>
      </c>
      <c r="F75" s="5" t="s">
        <v>214</v>
      </c>
      <c r="G75" s="5" t="str">
        <f t="shared" si="18"/>
        <v>0x3037</v>
      </c>
      <c r="H75" s="7">
        <f t="shared" si="16"/>
        <v>12343</v>
      </c>
      <c r="I75" s="6" t="str">
        <f t="shared" si="15"/>
        <v>012344</v>
      </c>
      <c r="J75" s="5" t="s">
        <v>279</v>
      </c>
      <c r="K75" s="5" t="s">
        <v>12</v>
      </c>
      <c r="L75" s="5" t="s">
        <v>12</v>
      </c>
      <c r="M75" s="5" t="s">
        <v>12</v>
      </c>
      <c r="N75" s="5" t="s">
        <v>12</v>
      </c>
      <c r="O75" s="5" t="s">
        <v>13</v>
      </c>
      <c r="P75" s="5" t="str">
        <f t="shared" si="20"/>
        <v>axFLT[8]</v>
      </c>
      <c r="Q75" t="s">
        <v>145</v>
      </c>
      <c r="R75" s="5" t="s">
        <v>12</v>
      </c>
      <c r="X75">
        <f t="shared" si="19"/>
        <v>75</v>
      </c>
    </row>
    <row r="76" spans="1:24" ht="14.25" customHeight="1" x14ac:dyDescent="0.3">
      <c r="A76" s="5" t="s">
        <v>124</v>
      </c>
      <c r="B76" s="5" t="s">
        <v>212</v>
      </c>
      <c r="C76" s="5" t="s">
        <v>213</v>
      </c>
      <c r="D76" s="6" t="s">
        <v>310</v>
      </c>
      <c r="E76" s="5" t="s">
        <v>11</v>
      </c>
      <c r="F76" s="5" t="s">
        <v>214</v>
      </c>
      <c r="G76" s="5" t="str">
        <f t="shared" si="18"/>
        <v>0x3038</v>
      </c>
      <c r="H76" s="7">
        <f t="shared" si="16"/>
        <v>12344</v>
      </c>
      <c r="I76" s="6" t="str">
        <f t="shared" si="15"/>
        <v>012345</v>
      </c>
      <c r="J76" s="5" t="s">
        <v>280</v>
      </c>
      <c r="K76" s="5" t="s">
        <v>12</v>
      </c>
      <c r="L76" s="5" t="s">
        <v>12</v>
      </c>
      <c r="M76" s="5" t="s">
        <v>12</v>
      </c>
      <c r="N76" s="5" t="s">
        <v>12</v>
      </c>
      <c r="O76" s="5" t="s">
        <v>13</v>
      </c>
      <c r="P76" s="5" t="str">
        <f t="shared" si="20"/>
        <v>axFLT[9]</v>
      </c>
      <c r="Q76" t="s">
        <v>145</v>
      </c>
      <c r="R76" s="5" t="s">
        <v>12</v>
      </c>
      <c r="X76">
        <f t="shared" si="19"/>
        <v>76</v>
      </c>
    </row>
    <row r="77" spans="1:24" ht="14.25" customHeight="1" x14ac:dyDescent="0.3">
      <c r="A77" s="5" t="s">
        <v>141</v>
      </c>
      <c r="B77" s="7" t="s">
        <v>142</v>
      </c>
      <c r="C77" s="7" t="s">
        <v>143</v>
      </c>
      <c r="D77" s="6" t="s">
        <v>310</v>
      </c>
      <c r="E77" s="7" t="s">
        <v>144</v>
      </c>
      <c r="F77" s="5" t="s">
        <v>222</v>
      </c>
      <c r="G77" s="5" t="s">
        <v>208</v>
      </c>
      <c r="H77" s="5" t="s">
        <v>208</v>
      </c>
      <c r="I77" s="5" t="s">
        <v>208</v>
      </c>
      <c r="J77" s="5" t="s">
        <v>312</v>
      </c>
      <c r="K77">
        <v>8</v>
      </c>
      <c r="L77" s="5" t="s">
        <v>313</v>
      </c>
      <c r="M77">
        <v>1</v>
      </c>
      <c r="N77" s="5" t="s">
        <v>207</v>
      </c>
      <c r="O77" s="7" t="s">
        <v>145</v>
      </c>
      <c r="P77" s="5" t="s">
        <v>347</v>
      </c>
      <c r="Q77" s="5" t="s">
        <v>13</v>
      </c>
      <c r="R77" s="5" t="s">
        <v>12</v>
      </c>
      <c r="X77">
        <f t="shared" si="19"/>
        <v>77</v>
      </c>
    </row>
    <row r="78" spans="1:24" ht="14.25" customHeight="1" x14ac:dyDescent="0.3">
      <c r="A78" s="5" t="s">
        <v>141</v>
      </c>
      <c r="B78" s="7" t="s">
        <v>146</v>
      </c>
      <c r="C78" s="7" t="s">
        <v>147</v>
      </c>
      <c r="D78" s="6" t="s">
        <v>310</v>
      </c>
      <c r="E78" s="7" t="s">
        <v>148</v>
      </c>
      <c r="F78" s="5" t="s">
        <v>222</v>
      </c>
      <c r="G78" s="5" t="s">
        <v>208</v>
      </c>
      <c r="H78" s="5" t="s">
        <v>208</v>
      </c>
      <c r="I78" s="5" t="s">
        <v>208</v>
      </c>
      <c r="J78" s="5" t="s">
        <v>298</v>
      </c>
      <c r="K78" s="5">
        <v>9</v>
      </c>
      <c r="L78" s="5" t="s">
        <v>308</v>
      </c>
      <c r="M78" s="5">
        <v>1</v>
      </c>
      <c r="N78" s="5" t="s">
        <v>207</v>
      </c>
      <c r="O78" s="7" t="s">
        <v>145</v>
      </c>
      <c r="P78" s="5" t="s">
        <v>348</v>
      </c>
      <c r="Q78" s="5" t="s">
        <v>13</v>
      </c>
      <c r="R78" s="5" t="s">
        <v>12</v>
      </c>
      <c r="X78">
        <f t="shared" si="19"/>
        <v>78</v>
      </c>
    </row>
    <row r="79" spans="1:24" ht="14.25" customHeight="1" x14ac:dyDescent="0.3">
      <c r="A79" s="5" t="s">
        <v>141</v>
      </c>
      <c r="B79" s="7" t="s">
        <v>149</v>
      </c>
      <c r="C79" s="7" t="s">
        <v>150</v>
      </c>
      <c r="D79" s="6" t="s">
        <v>310</v>
      </c>
      <c r="E79" s="7" t="s">
        <v>148</v>
      </c>
      <c r="F79" s="5" t="s">
        <v>222</v>
      </c>
      <c r="G79" s="5" t="s">
        <v>208</v>
      </c>
      <c r="H79" s="5" t="s">
        <v>208</v>
      </c>
      <c r="I79" s="5" t="s">
        <v>208</v>
      </c>
      <c r="J79" s="5" t="s">
        <v>299</v>
      </c>
      <c r="K79" s="5">
        <v>9</v>
      </c>
      <c r="L79" s="5" t="s">
        <v>308</v>
      </c>
      <c r="M79" s="5">
        <v>2</v>
      </c>
      <c r="N79" s="5" t="s">
        <v>207</v>
      </c>
      <c r="O79" s="7" t="s">
        <v>145</v>
      </c>
      <c r="P79" s="5" t="s">
        <v>349</v>
      </c>
      <c r="Q79" s="5" t="s">
        <v>13</v>
      </c>
      <c r="R79" s="5" t="s">
        <v>12</v>
      </c>
      <c r="X79">
        <f t="shared" si="19"/>
        <v>79</v>
      </c>
    </row>
    <row r="80" spans="1:24" ht="13.8" customHeight="1" x14ac:dyDescent="0.3">
      <c r="A80" s="5" t="s">
        <v>141</v>
      </c>
      <c r="B80" s="7" t="s">
        <v>151</v>
      </c>
      <c r="C80" s="7" t="s">
        <v>152</v>
      </c>
      <c r="D80" s="6" t="s">
        <v>310</v>
      </c>
      <c r="E80" s="7" t="s">
        <v>148</v>
      </c>
      <c r="F80" s="5" t="s">
        <v>222</v>
      </c>
      <c r="G80" s="5" t="s">
        <v>208</v>
      </c>
      <c r="H80" s="5" t="s">
        <v>208</v>
      </c>
      <c r="I80" s="5" t="s">
        <v>208</v>
      </c>
      <c r="J80" s="5" t="s">
        <v>300</v>
      </c>
      <c r="K80">
        <v>10</v>
      </c>
      <c r="L80" s="5" t="s">
        <v>308</v>
      </c>
      <c r="M80">
        <v>1</v>
      </c>
      <c r="N80" s="5" t="s">
        <v>207</v>
      </c>
      <c r="O80" s="7" t="s">
        <v>145</v>
      </c>
      <c r="P80" s="5" t="s">
        <v>350</v>
      </c>
      <c r="Q80" s="5" t="s">
        <v>13</v>
      </c>
      <c r="R80" s="5" t="s">
        <v>12</v>
      </c>
      <c r="X80">
        <f t="shared" si="19"/>
        <v>80</v>
      </c>
    </row>
    <row r="81" spans="1:24" ht="13.8" hidden="1" customHeight="1" x14ac:dyDescent="0.3">
      <c r="A81" s="5" t="s">
        <v>141</v>
      </c>
      <c r="B81" s="7" t="s">
        <v>153</v>
      </c>
      <c r="C81" s="7" t="s">
        <v>154</v>
      </c>
      <c r="D81" s="5" t="s">
        <v>311</v>
      </c>
      <c r="E81" s="7" t="s">
        <v>144</v>
      </c>
      <c r="F81" s="5" t="s">
        <v>222</v>
      </c>
      <c r="G81" s="5" t="s">
        <v>208</v>
      </c>
      <c r="H81" s="5" t="s">
        <v>208</v>
      </c>
      <c r="I81" s="5" t="s">
        <v>208</v>
      </c>
      <c r="N81" s="5" t="s">
        <v>207</v>
      </c>
      <c r="O81" s="7" t="s">
        <v>145</v>
      </c>
      <c r="Q81" s="5" t="s">
        <v>13</v>
      </c>
      <c r="R81" s="5" t="s">
        <v>12</v>
      </c>
      <c r="X81">
        <f t="shared" si="19"/>
        <v>81</v>
      </c>
    </row>
    <row r="82" spans="1:24" ht="14.25" hidden="1" customHeight="1" x14ac:dyDescent="0.3">
      <c r="A82" s="5" t="s">
        <v>141</v>
      </c>
      <c r="B82" s="7" t="s">
        <v>155</v>
      </c>
      <c r="C82" s="7" t="s">
        <v>156</v>
      </c>
      <c r="D82" s="5" t="s">
        <v>311</v>
      </c>
      <c r="E82" s="7" t="s">
        <v>144</v>
      </c>
      <c r="F82" s="5" t="s">
        <v>222</v>
      </c>
      <c r="G82" s="5" t="s">
        <v>208</v>
      </c>
      <c r="H82" s="5" t="s">
        <v>208</v>
      </c>
      <c r="I82" s="5" t="s">
        <v>208</v>
      </c>
      <c r="N82" s="5" t="s">
        <v>207</v>
      </c>
      <c r="O82" s="7" t="s">
        <v>145</v>
      </c>
      <c r="Q82" s="5" t="s">
        <v>13</v>
      </c>
      <c r="R82" s="5" t="s">
        <v>12</v>
      </c>
      <c r="X82">
        <f t="shared" si="19"/>
        <v>82</v>
      </c>
    </row>
    <row r="83" spans="1:24" ht="14.25" customHeight="1" x14ac:dyDescent="0.3">
      <c r="A83" s="5" t="s">
        <v>141</v>
      </c>
      <c r="B83" s="7" t="s">
        <v>157</v>
      </c>
      <c r="C83" s="7" t="s">
        <v>158</v>
      </c>
      <c r="D83" s="6" t="s">
        <v>310</v>
      </c>
      <c r="E83" s="7" t="s">
        <v>144</v>
      </c>
      <c r="F83" s="5" t="s">
        <v>222</v>
      </c>
      <c r="G83" s="5" t="s">
        <v>208</v>
      </c>
      <c r="H83" s="5" t="s">
        <v>208</v>
      </c>
      <c r="I83" s="5" t="s">
        <v>208</v>
      </c>
      <c r="J83" s="5" t="s">
        <v>314</v>
      </c>
      <c r="K83">
        <v>8</v>
      </c>
      <c r="L83" s="5" t="s">
        <v>313</v>
      </c>
      <c r="M83">
        <v>2</v>
      </c>
      <c r="N83" s="5" t="s">
        <v>207</v>
      </c>
      <c r="O83" s="7" t="s">
        <v>145</v>
      </c>
      <c r="P83" s="5" t="s">
        <v>346</v>
      </c>
      <c r="Q83" s="5" t="s">
        <v>13</v>
      </c>
      <c r="R83" s="5" t="s">
        <v>12</v>
      </c>
      <c r="X83">
        <f t="shared" si="19"/>
        <v>83</v>
      </c>
    </row>
    <row r="84" spans="1:24" ht="14.25" customHeight="1" x14ac:dyDescent="0.3">
      <c r="A84" s="5" t="s">
        <v>141</v>
      </c>
      <c r="B84" s="7" t="s">
        <v>159</v>
      </c>
      <c r="C84" s="7" t="s">
        <v>160</v>
      </c>
      <c r="D84" s="6" t="s">
        <v>310</v>
      </c>
      <c r="E84" s="7" t="s">
        <v>11</v>
      </c>
      <c r="F84" s="5" t="s">
        <v>222</v>
      </c>
      <c r="G84" s="5" t="s">
        <v>208</v>
      </c>
      <c r="H84" s="5" t="s">
        <v>208</v>
      </c>
      <c r="I84" s="5" t="s">
        <v>208</v>
      </c>
      <c r="J84" s="5" t="s">
        <v>315</v>
      </c>
      <c r="K84">
        <v>2</v>
      </c>
      <c r="L84" s="5" t="s">
        <v>317</v>
      </c>
      <c r="M84">
        <v>1</v>
      </c>
      <c r="N84" s="5" t="s">
        <v>207</v>
      </c>
      <c r="O84" s="7" t="s">
        <v>145</v>
      </c>
      <c r="P84" s="5" t="s">
        <v>334</v>
      </c>
      <c r="Q84" s="5" t="s">
        <v>13</v>
      </c>
      <c r="R84" s="5" t="s">
        <v>12</v>
      </c>
      <c r="X84">
        <f t="shared" si="19"/>
        <v>84</v>
      </c>
    </row>
    <row r="85" spans="1:24" ht="14.25" customHeight="1" x14ac:dyDescent="0.3">
      <c r="A85" s="5" t="s">
        <v>141</v>
      </c>
      <c r="B85" s="7" t="s">
        <v>161</v>
      </c>
      <c r="C85" s="7" t="s">
        <v>162</v>
      </c>
      <c r="D85" s="6" t="s">
        <v>310</v>
      </c>
      <c r="E85" s="7" t="s">
        <v>11</v>
      </c>
      <c r="F85" s="5" t="s">
        <v>222</v>
      </c>
      <c r="G85" s="5" t="s">
        <v>208</v>
      </c>
      <c r="H85" s="5" t="s">
        <v>208</v>
      </c>
      <c r="I85" s="5" t="s">
        <v>208</v>
      </c>
      <c r="J85" s="5" t="s">
        <v>316</v>
      </c>
      <c r="K85">
        <v>2</v>
      </c>
      <c r="L85" s="5" t="s">
        <v>317</v>
      </c>
      <c r="M85">
        <v>2</v>
      </c>
      <c r="N85" s="5" t="s">
        <v>207</v>
      </c>
      <c r="O85" s="7" t="s">
        <v>145</v>
      </c>
      <c r="P85" s="5" t="s">
        <v>335</v>
      </c>
      <c r="Q85" s="5" t="s">
        <v>13</v>
      </c>
      <c r="R85" s="5" t="s">
        <v>12</v>
      </c>
      <c r="X85">
        <f t="shared" si="19"/>
        <v>85</v>
      </c>
    </row>
    <row r="86" spans="1:24" ht="14.25" customHeight="1" x14ac:dyDescent="0.3">
      <c r="A86" s="5" t="s">
        <v>141</v>
      </c>
      <c r="B86" s="7" t="s">
        <v>163</v>
      </c>
      <c r="C86" s="7" t="s">
        <v>164</v>
      </c>
      <c r="D86" s="6" t="s">
        <v>310</v>
      </c>
      <c r="E86" s="7" t="s">
        <v>11</v>
      </c>
      <c r="F86" s="5" t="s">
        <v>222</v>
      </c>
      <c r="G86" s="5" t="s">
        <v>208</v>
      </c>
      <c r="H86" s="5" t="s">
        <v>208</v>
      </c>
      <c r="I86" s="5" t="s">
        <v>208</v>
      </c>
      <c r="J86" s="5" t="s">
        <v>318</v>
      </c>
      <c r="K86">
        <v>1</v>
      </c>
      <c r="L86" s="5" t="s">
        <v>321</v>
      </c>
      <c r="M86">
        <v>1</v>
      </c>
      <c r="N86" s="5" t="s">
        <v>207</v>
      </c>
      <c r="O86" s="7" t="s">
        <v>145</v>
      </c>
      <c r="P86" s="5" t="s">
        <v>332</v>
      </c>
      <c r="Q86" s="5" t="s">
        <v>13</v>
      </c>
      <c r="R86" s="5" t="s">
        <v>12</v>
      </c>
      <c r="X86">
        <f t="shared" si="19"/>
        <v>86</v>
      </c>
    </row>
    <row r="87" spans="1:24" ht="14.25" customHeight="1" x14ac:dyDescent="0.3">
      <c r="A87" s="5" t="s">
        <v>141</v>
      </c>
      <c r="B87" s="7" t="s">
        <v>165</v>
      </c>
      <c r="C87" s="7" t="s">
        <v>166</v>
      </c>
      <c r="D87" s="6" t="s">
        <v>310</v>
      </c>
      <c r="E87" s="7" t="s">
        <v>11</v>
      </c>
      <c r="F87" s="5" t="s">
        <v>222</v>
      </c>
      <c r="G87" s="5" t="s">
        <v>208</v>
      </c>
      <c r="H87" s="5" t="s">
        <v>208</v>
      </c>
      <c r="I87" s="5" t="s">
        <v>208</v>
      </c>
      <c r="J87" s="5" t="s">
        <v>319</v>
      </c>
      <c r="K87">
        <v>1</v>
      </c>
      <c r="L87" s="5" t="s">
        <v>321</v>
      </c>
      <c r="M87">
        <v>2</v>
      </c>
      <c r="N87" s="5" t="s">
        <v>207</v>
      </c>
      <c r="O87" s="7" t="s">
        <v>145</v>
      </c>
      <c r="P87" s="5" t="s">
        <v>333</v>
      </c>
      <c r="Q87" s="5" t="s">
        <v>13</v>
      </c>
      <c r="R87" s="5" t="s">
        <v>12</v>
      </c>
      <c r="X87">
        <f t="shared" si="19"/>
        <v>87</v>
      </c>
    </row>
    <row r="88" spans="1:24" ht="14.25" customHeight="1" x14ac:dyDescent="0.3">
      <c r="A88" s="5" t="s">
        <v>141</v>
      </c>
      <c r="B88" s="7" t="s">
        <v>167</v>
      </c>
      <c r="C88" s="7" t="s">
        <v>168</v>
      </c>
      <c r="D88" s="6" t="s">
        <v>310</v>
      </c>
      <c r="E88" s="7" t="s">
        <v>11</v>
      </c>
      <c r="F88" s="5" t="s">
        <v>222</v>
      </c>
      <c r="G88" s="5" t="s">
        <v>208</v>
      </c>
      <c r="H88" s="5" t="s">
        <v>208</v>
      </c>
      <c r="I88" s="5" t="s">
        <v>208</v>
      </c>
      <c r="J88" s="5" t="s">
        <v>324</v>
      </c>
      <c r="K88">
        <v>5</v>
      </c>
      <c r="L88" s="5" t="s">
        <v>327</v>
      </c>
      <c r="M88">
        <v>2</v>
      </c>
      <c r="N88" s="5" t="s">
        <v>206</v>
      </c>
      <c r="O88" s="7" t="s">
        <v>145</v>
      </c>
      <c r="P88" s="5" t="s">
        <v>337</v>
      </c>
      <c r="Q88" s="5" t="s">
        <v>13</v>
      </c>
      <c r="R88" s="5" t="s">
        <v>12</v>
      </c>
      <c r="X88">
        <f t="shared" si="19"/>
        <v>88</v>
      </c>
    </row>
    <row r="89" spans="1:24" ht="14.25" customHeight="1" x14ac:dyDescent="0.3">
      <c r="A89" s="5" t="s">
        <v>141</v>
      </c>
      <c r="B89" s="7" t="s">
        <v>169</v>
      </c>
      <c r="C89" s="7" t="s">
        <v>170</v>
      </c>
      <c r="D89" s="6" t="s">
        <v>310</v>
      </c>
      <c r="E89" s="7" t="s">
        <v>11</v>
      </c>
      <c r="F89" s="5" t="s">
        <v>222</v>
      </c>
      <c r="G89" s="5" t="s">
        <v>208</v>
      </c>
      <c r="H89" s="5" t="s">
        <v>208</v>
      </c>
      <c r="I89" s="5" t="s">
        <v>208</v>
      </c>
      <c r="J89" s="5" t="s">
        <v>325</v>
      </c>
      <c r="K89">
        <v>5</v>
      </c>
      <c r="L89" s="5" t="s">
        <v>327</v>
      </c>
      <c r="M89">
        <v>4</v>
      </c>
      <c r="N89" s="5" t="s">
        <v>206</v>
      </c>
      <c r="O89" s="7" t="s">
        <v>145</v>
      </c>
      <c r="P89" s="5" t="s">
        <v>340</v>
      </c>
      <c r="Q89" s="5" t="s">
        <v>13</v>
      </c>
      <c r="R89" s="5" t="s">
        <v>12</v>
      </c>
      <c r="X89">
        <f t="shared" si="19"/>
        <v>89</v>
      </c>
    </row>
    <row r="90" spans="1:24" ht="14.25" customHeight="1" x14ac:dyDescent="0.3">
      <c r="A90" s="5" t="s">
        <v>141</v>
      </c>
      <c r="B90" s="7" t="s">
        <v>171</v>
      </c>
      <c r="C90" s="7" t="s">
        <v>172</v>
      </c>
      <c r="D90" s="6" t="s">
        <v>310</v>
      </c>
      <c r="E90" s="7" t="s">
        <v>11</v>
      </c>
      <c r="F90" s="5" t="s">
        <v>222</v>
      </c>
      <c r="G90" s="5" t="s">
        <v>208</v>
      </c>
      <c r="H90" s="5" t="s">
        <v>208</v>
      </c>
      <c r="I90" s="5" t="s">
        <v>208</v>
      </c>
      <c r="J90" s="5" t="s">
        <v>323</v>
      </c>
      <c r="K90">
        <v>5</v>
      </c>
      <c r="L90" s="5" t="s">
        <v>327</v>
      </c>
      <c r="M90">
        <v>1</v>
      </c>
      <c r="N90" s="5" t="s">
        <v>206</v>
      </c>
      <c r="O90" s="7" t="s">
        <v>145</v>
      </c>
      <c r="P90" s="5" t="s">
        <v>338</v>
      </c>
      <c r="Q90" s="5" t="s">
        <v>13</v>
      </c>
      <c r="R90" s="5" t="s">
        <v>12</v>
      </c>
      <c r="X90">
        <f t="shared" si="19"/>
        <v>90</v>
      </c>
    </row>
    <row r="91" spans="1:24" ht="14.25" customHeight="1" x14ac:dyDescent="0.3">
      <c r="A91" s="5" t="s">
        <v>141</v>
      </c>
      <c r="B91" s="7" t="s">
        <v>173</v>
      </c>
      <c r="C91" s="7" t="s">
        <v>174</v>
      </c>
      <c r="D91" s="6" t="s">
        <v>310</v>
      </c>
      <c r="E91" s="7" t="s">
        <v>11</v>
      </c>
      <c r="F91" s="5" t="s">
        <v>222</v>
      </c>
      <c r="G91" s="5" t="s">
        <v>208</v>
      </c>
      <c r="H91" s="5" t="s">
        <v>208</v>
      </c>
      <c r="I91" s="5" t="s">
        <v>208</v>
      </c>
      <c r="J91" s="5" t="s">
        <v>326</v>
      </c>
      <c r="K91">
        <v>5</v>
      </c>
      <c r="L91" s="5" t="s">
        <v>327</v>
      </c>
      <c r="M91">
        <v>3</v>
      </c>
      <c r="N91" s="5" t="s">
        <v>206</v>
      </c>
      <c r="O91" s="7" t="s">
        <v>145</v>
      </c>
      <c r="P91" s="5" t="s">
        <v>339</v>
      </c>
      <c r="Q91" s="5" t="s">
        <v>13</v>
      </c>
      <c r="R91" s="5" t="s">
        <v>12</v>
      </c>
      <c r="X91">
        <f t="shared" si="19"/>
        <v>91</v>
      </c>
    </row>
    <row r="92" spans="1:24" ht="14.25" customHeight="1" x14ac:dyDescent="0.3">
      <c r="A92" s="5" t="s">
        <v>141</v>
      </c>
      <c r="B92" s="7" t="s">
        <v>175</v>
      </c>
      <c r="C92" s="7" t="s">
        <v>176</v>
      </c>
      <c r="D92" s="6" t="s">
        <v>310</v>
      </c>
      <c r="E92" s="7" t="s">
        <v>144</v>
      </c>
      <c r="F92" s="5" t="s">
        <v>222</v>
      </c>
      <c r="G92" s="5" t="s">
        <v>208</v>
      </c>
      <c r="H92" s="5" t="s">
        <v>208</v>
      </c>
      <c r="I92" s="5" t="s">
        <v>208</v>
      </c>
      <c r="J92" s="5" t="s">
        <v>328</v>
      </c>
      <c r="K92">
        <v>12</v>
      </c>
      <c r="L92" s="5" t="s">
        <v>329</v>
      </c>
      <c r="M92">
        <v>1</v>
      </c>
      <c r="N92" s="5" t="s">
        <v>206</v>
      </c>
      <c r="O92" s="7" t="s">
        <v>145</v>
      </c>
      <c r="P92" s="5" t="s">
        <v>341</v>
      </c>
      <c r="Q92" s="5" t="s">
        <v>13</v>
      </c>
      <c r="R92" s="5" t="s">
        <v>12</v>
      </c>
      <c r="X92">
        <f t="shared" si="19"/>
        <v>92</v>
      </c>
    </row>
    <row r="93" spans="1:24" ht="14.25" customHeight="1" x14ac:dyDescent="0.3">
      <c r="A93" s="5" t="s">
        <v>141</v>
      </c>
      <c r="B93" s="7" t="s">
        <v>177</v>
      </c>
      <c r="C93" s="7" t="s">
        <v>178</v>
      </c>
      <c r="D93" s="6" t="s">
        <v>310</v>
      </c>
      <c r="E93" s="7" t="s">
        <v>11</v>
      </c>
      <c r="F93" s="5" t="s">
        <v>222</v>
      </c>
      <c r="G93" s="5" t="s">
        <v>208</v>
      </c>
      <c r="H93" s="5" t="s">
        <v>208</v>
      </c>
      <c r="I93" s="5" t="s">
        <v>208</v>
      </c>
      <c r="J93" s="5" t="s">
        <v>320</v>
      </c>
      <c r="K93">
        <v>2</v>
      </c>
      <c r="L93" s="5" t="s">
        <v>317</v>
      </c>
      <c r="M93">
        <v>3</v>
      </c>
      <c r="N93" s="5" t="s">
        <v>207</v>
      </c>
      <c r="O93" s="7" t="s">
        <v>145</v>
      </c>
      <c r="P93" s="5" t="s">
        <v>336</v>
      </c>
      <c r="Q93" s="5" t="s">
        <v>13</v>
      </c>
      <c r="R93" s="5" t="s">
        <v>12</v>
      </c>
      <c r="X93">
        <f t="shared" si="19"/>
        <v>93</v>
      </c>
    </row>
    <row r="94" spans="1:24" ht="14.25" customHeight="1" x14ac:dyDescent="0.3">
      <c r="A94" s="5" t="s">
        <v>141</v>
      </c>
      <c r="B94" s="5" t="s">
        <v>179</v>
      </c>
      <c r="C94" s="5" t="s">
        <v>193</v>
      </c>
      <c r="D94" s="6" t="s">
        <v>310</v>
      </c>
      <c r="E94" s="5" t="s">
        <v>144</v>
      </c>
      <c r="F94" s="5" t="s">
        <v>222</v>
      </c>
      <c r="G94" s="5" t="s">
        <v>208</v>
      </c>
      <c r="H94" s="5" t="s">
        <v>208</v>
      </c>
      <c r="I94" s="5" t="s">
        <v>208</v>
      </c>
      <c r="J94" s="5" t="s">
        <v>301</v>
      </c>
      <c r="K94">
        <v>11</v>
      </c>
      <c r="L94" s="5" t="s">
        <v>322</v>
      </c>
      <c r="M94">
        <v>1</v>
      </c>
      <c r="N94" s="5" t="s">
        <v>207</v>
      </c>
      <c r="O94" s="7" t="s">
        <v>145</v>
      </c>
      <c r="P94" s="5" t="s">
        <v>342</v>
      </c>
      <c r="Q94" s="5" t="s">
        <v>13</v>
      </c>
      <c r="R94" s="5" t="s">
        <v>12</v>
      </c>
      <c r="X94">
        <f t="shared" si="19"/>
        <v>94</v>
      </c>
    </row>
    <row r="95" spans="1:24" ht="14.25" customHeight="1" x14ac:dyDescent="0.3">
      <c r="A95" s="5" t="s">
        <v>141</v>
      </c>
      <c r="B95" s="5" t="s">
        <v>181</v>
      </c>
      <c r="C95" s="5" t="s">
        <v>180</v>
      </c>
      <c r="D95" s="6" t="s">
        <v>310</v>
      </c>
      <c r="E95" s="5" t="s">
        <v>144</v>
      </c>
      <c r="F95" s="5" t="s">
        <v>222</v>
      </c>
      <c r="G95" s="5" t="s">
        <v>208</v>
      </c>
      <c r="H95" s="5" t="s">
        <v>208</v>
      </c>
      <c r="I95" s="5" t="s">
        <v>208</v>
      </c>
      <c r="J95" s="5" t="s">
        <v>302</v>
      </c>
      <c r="K95">
        <v>11</v>
      </c>
      <c r="L95" s="5" t="s">
        <v>322</v>
      </c>
      <c r="M95">
        <v>2</v>
      </c>
      <c r="N95" s="5" t="s">
        <v>207</v>
      </c>
      <c r="O95" s="7" t="s">
        <v>145</v>
      </c>
      <c r="P95" s="5" t="s">
        <v>343</v>
      </c>
      <c r="Q95" s="5" t="s">
        <v>13</v>
      </c>
      <c r="R95" s="5" t="s">
        <v>12</v>
      </c>
      <c r="X95">
        <f t="shared" si="19"/>
        <v>95</v>
      </c>
    </row>
    <row r="96" spans="1:24" ht="14.25" customHeight="1" x14ac:dyDescent="0.3">
      <c r="A96" s="5" t="s">
        <v>141</v>
      </c>
      <c r="B96" s="5" t="s">
        <v>182</v>
      </c>
      <c r="C96" s="5" t="s">
        <v>185</v>
      </c>
      <c r="D96" s="6" t="s">
        <v>310</v>
      </c>
      <c r="E96" s="5" t="s">
        <v>144</v>
      </c>
      <c r="F96" s="5" t="s">
        <v>222</v>
      </c>
      <c r="G96" s="5" t="s">
        <v>208</v>
      </c>
      <c r="H96" s="5" t="s">
        <v>208</v>
      </c>
      <c r="I96" s="5" t="s">
        <v>208</v>
      </c>
      <c r="J96" s="5" t="s">
        <v>303</v>
      </c>
      <c r="K96">
        <v>11</v>
      </c>
      <c r="L96" s="5" t="s">
        <v>322</v>
      </c>
      <c r="M96">
        <v>3</v>
      </c>
      <c r="N96" s="5" t="s">
        <v>207</v>
      </c>
      <c r="O96" s="7" t="s">
        <v>145</v>
      </c>
      <c r="P96" s="5" t="s">
        <v>344</v>
      </c>
      <c r="Q96" s="5" t="s">
        <v>13</v>
      </c>
      <c r="R96" s="5" t="s">
        <v>12</v>
      </c>
      <c r="X96">
        <f t="shared" si="19"/>
        <v>96</v>
      </c>
    </row>
    <row r="97" spans="1:24" ht="14.25" customHeight="1" x14ac:dyDescent="0.3">
      <c r="A97" s="5" t="s">
        <v>141</v>
      </c>
      <c r="B97" s="5" t="s">
        <v>184</v>
      </c>
      <c r="C97" s="5" t="s">
        <v>183</v>
      </c>
      <c r="D97" s="6" t="s">
        <v>310</v>
      </c>
      <c r="E97" s="5" t="s">
        <v>144</v>
      </c>
      <c r="F97" s="5" t="s">
        <v>222</v>
      </c>
      <c r="G97" s="5" t="s">
        <v>208</v>
      </c>
      <c r="H97" s="5" t="s">
        <v>208</v>
      </c>
      <c r="I97" s="5" t="s">
        <v>208</v>
      </c>
      <c r="J97" s="5" t="s">
        <v>304</v>
      </c>
      <c r="K97">
        <v>11</v>
      </c>
      <c r="L97" s="5" t="s">
        <v>322</v>
      </c>
      <c r="M97">
        <v>4</v>
      </c>
      <c r="N97" s="5" t="s">
        <v>207</v>
      </c>
      <c r="O97" s="7" t="s">
        <v>145</v>
      </c>
      <c r="P97" s="5" t="s">
        <v>345</v>
      </c>
      <c r="Q97" s="5" t="s">
        <v>13</v>
      </c>
      <c r="R97" s="5" t="s">
        <v>12</v>
      </c>
      <c r="X97">
        <f t="shared" si="19"/>
        <v>97</v>
      </c>
    </row>
    <row r="98" spans="1:24" ht="14.25" customHeight="1" x14ac:dyDescent="0.3">
      <c r="W98">
        <v>1</v>
      </c>
      <c r="X98">
        <f t="shared" si="19"/>
        <v>98</v>
      </c>
    </row>
    <row r="99" spans="1:24" ht="14.25" customHeight="1" x14ac:dyDescent="0.3">
      <c r="W99">
        <f>W98+1</f>
        <v>2</v>
      </c>
    </row>
    <row r="100" spans="1:24" ht="14.25" customHeight="1" x14ac:dyDescent="0.3">
      <c r="W100">
        <f t="shared" ref="W100:W112" si="21">W99+1</f>
        <v>3</v>
      </c>
    </row>
    <row r="101" spans="1:24" ht="14.25" customHeight="1" x14ac:dyDescent="0.3">
      <c r="W101">
        <f t="shared" si="21"/>
        <v>4</v>
      </c>
    </row>
    <row r="102" spans="1:24" ht="14.25" customHeight="1" x14ac:dyDescent="0.3">
      <c r="W102">
        <f t="shared" si="21"/>
        <v>5</v>
      </c>
    </row>
    <row r="103" spans="1:24" ht="14.25" customHeight="1" x14ac:dyDescent="0.3">
      <c r="W103">
        <f t="shared" si="21"/>
        <v>6</v>
      </c>
    </row>
    <row r="104" spans="1:24" ht="14.25" customHeight="1" x14ac:dyDescent="0.3">
      <c r="W104">
        <f t="shared" si="21"/>
        <v>7</v>
      </c>
    </row>
    <row r="105" spans="1:24" ht="14.25" customHeight="1" x14ac:dyDescent="0.3">
      <c r="W105">
        <f t="shared" si="21"/>
        <v>8</v>
      </c>
    </row>
    <row r="106" spans="1:24" ht="14.25" customHeight="1" x14ac:dyDescent="0.3">
      <c r="W106">
        <f t="shared" si="21"/>
        <v>9</v>
      </c>
    </row>
    <row r="107" spans="1:24" ht="14.25" customHeight="1" x14ac:dyDescent="0.3">
      <c r="W107">
        <f t="shared" si="21"/>
        <v>10</v>
      </c>
    </row>
    <row r="108" spans="1:24" ht="14.25" customHeight="1" x14ac:dyDescent="0.3">
      <c r="W108">
        <f t="shared" si="21"/>
        <v>11</v>
      </c>
    </row>
    <row r="109" spans="1:24" ht="14.25" customHeight="1" x14ac:dyDescent="0.3">
      <c r="W109">
        <f t="shared" si="21"/>
        <v>12</v>
      </c>
    </row>
    <row r="110" spans="1:24" ht="14.25" customHeight="1" x14ac:dyDescent="0.3">
      <c r="W110">
        <f t="shared" si="21"/>
        <v>13</v>
      </c>
    </row>
    <row r="111" spans="1:24" ht="14.25" customHeight="1" x14ac:dyDescent="0.3">
      <c r="W111">
        <f t="shared" si="21"/>
        <v>14</v>
      </c>
    </row>
    <row r="112" spans="1:24" ht="14.25" customHeight="1" x14ac:dyDescent="0.3">
      <c r="W112">
        <f t="shared" si="21"/>
        <v>15</v>
      </c>
    </row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  <row r="1001" ht="14.25" customHeight="1" x14ac:dyDescent="0.3"/>
    <row r="1002" ht="14.25" customHeight="1" x14ac:dyDescent="0.3"/>
    <row r="1003" ht="14.25" customHeight="1" x14ac:dyDescent="0.3"/>
    <row r="1004" ht="14.25" customHeight="1" x14ac:dyDescent="0.3"/>
    <row r="1005" ht="14.25" customHeight="1" x14ac:dyDescent="0.3"/>
    <row r="1006" ht="14.25" customHeight="1" x14ac:dyDescent="0.3"/>
    <row r="1007" ht="14.25" customHeight="1" x14ac:dyDescent="0.3"/>
    <row r="1008" ht="14.25" customHeight="1" x14ac:dyDescent="0.3"/>
    <row r="1009" ht="14.25" customHeight="1" x14ac:dyDescent="0.3"/>
    <row r="1010" ht="14.25" customHeight="1" x14ac:dyDescent="0.3"/>
    <row r="1011" ht="14.25" customHeight="1" x14ac:dyDescent="0.3"/>
  </sheetData>
  <phoneticPr fontId="6" type="noConversion"/>
  <pageMargins left="0.7" right="0.7" top="0.75" bottom="0.75" header="0" footer="0"/>
  <pageSetup orientation="portrait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Noah Ovikian</dc:creator>
  <cp:lastModifiedBy>Noah Ovikian</cp:lastModifiedBy>
  <dcterms:created xsi:type="dcterms:W3CDTF">2026-09-01T18:24:32Z</dcterms:created>
  <dcterms:modified xsi:type="dcterms:W3CDTF">2026-09-26T21:38:46Z</dcterms:modified>
</cp:coreProperties>
</file>